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samsung\OneDrive\바탕 화면\동영상제작\아이티고 컴활1급 실기 스프레드시트\실습파일\"/>
    </mc:Choice>
  </mc:AlternateContent>
  <xr:revisionPtr revIDLastSave="0" documentId="8_{C3E2DD96-2A51-4376-892E-2AC61C54CED3}" xr6:coauthVersionLast="47" xr6:coauthVersionMax="47" xr10:uidLastSave="{00000000-0000-0000-0000-000000000000}"/>
  <bookViews>
    <workbookView xWindow="-120" yWindow="-120" windowWidth="19440" windowHeight="11040" xr2:uid="{641E5C1D-F479-48D5-A1F4-D031EF02FB4E}"/>
  </bookViews>
  <sheets>
    <sheet name="Sheet1" sheetId="1" r:id="rId1"/>
    <sheet name="Sheet2" sheetId="6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5" i="1" l="1" a="1"/>
  <c r="K9" i="1" a="1"/>
  <c r="K13" i="1" a="1"/>
  <c r="K17" i="1" a="1"/>
  <c r="K21" i="1" a="1"/>
  <c r="K11" i="1" a="1"/>
  <c r="K15" i="1" a="1"/>
  <c r="K23" i="1" a="1"/>
  <c r="K8" i="1" a="1"/>
  <c r="K12" i="1" a="1"/>
  <c r="K20" i="1" a="1"/>
  <c r="K6" i="1" a="1"/>
  <c r="K10" i="1" a="1"/>
  <c r="K14" i="1" a="1"/>
  <c r="K18" i="1" a="1"/>
  <c r="K22" i="1" a="1"/>
  <c r="K7" i="1" a="1"/>
  <c r="K19" i="1" a="1"/>
  <c r="K4" i="1" a="1"/>
  <c r="K16" i="1" a="1"/>
  <c r="K3" i="1" a="1"/>
  <c r="J4" i="1" a="1"/>
  <c r="J8" i="1" a="1"/>
  <c r="J12" i="1" a="1"/>
  <c r="J16" i="1" a="1"/>
  <c r="J9" i="1" a="1"/>
  <c r="J13" i="1" a="1"/>
  <c r="J21" i="1" a="1"/>
  <c r="J19" i="1" a="1"/>
  <c r="J5" i="1" a="1"/>
  <c r="J17" i="1" a="1"/>
  <c r="J18" i="1" a="1"/>
  <c r="J23" i="1" a="1"/>
  <c r="J10" i="1" a="1"/>
  <c r="J6" i="1" a="1"/>
  <c r="J14" i="1" a="1"/>
  <c r="J22" i="1" a="1"/>
  <c r="J7" i="1" a="1"/>
  <c r="J11" i="1" a="1"/>
  <c r="J15" i="1" a="1"/>
  <c r="J20" i="1" a="1"/>
  <c r="J3" i="1" a="1"/>
  <c r="I10" i="1" a="1"/>
  <c r="I12" i="1" a="1"/>
  <c r="I13" i="1" a="1"/>
  <c r="I21" i="1" a="1"/>
  <c r="I6" i="1" a="1"/>
  <c r="I14" i="1" a="1"/>
  <c r="I18" i="1" a="1"/>
  <c r="I22" i="1" a="1"/>
  <c r="I8" i="1" a="1"/>
  <c r="I20" i="1" a="1"/>
  <c r="I5" i="1" a="1"/>
  <c r="I17" i="1" a="1"/>
  <c r="I7" i="1" a="1"/>
  <c r="I11" i="1" a="1"/>
  <c r="I15" i="1" a="1"/>
  <c r="I19" i="1" a="1"/>
  <c r="I23" i="1" a="1"/>
  <c r="I4" i="1" a="1"/>
  <c r="I16" i="1" a="1"/>
  <c r="I9" i="1" a="1"/>
  <c r="I3" i="1" a="1"/>
  <c r="H4" i="1" a="1"/>
  <c r="H8" i="1" a="1"/>
  <c r="H12" i="1" a="1"/>
  <c r="H16" i="1" a="1"/>
  <c r="H20" i="1" a="1"/>
  <c r="H22" i="1" a="1"/>
  <c r="H19" i="1" a="1"/>
  <c r="H5" i="1" a="1"/>
  <c r="H13" i="1" a="1"/>
  <c r="H17" i="1" a="1"/>
  <c r="H21" i="1" a="1"/>
  <c r="H10" i="1" a="1"/>
  <c r="H14" i="1" a="1"/>
  <c r="H18" i="1" a="1"/>
  <c r="H15" i="1" a="1"/>
  <c r="H23" i="1" a="1"/>
  <c r="H9" i="1" a="1"/>
  <c r="H6" i="1" a="1"/>
  <c r="H11" i="1" a="1"/>
  <c r="H7" i="1" a="1"/>
  <c r="H3" i="1" a="1"/>
  <c r="G9" i="1" a="1"/>
  <c r="G13" i="1" a="1"/>
  <c r="G17" i="1" a="1"/>
  <c r="G21" i="1" a="1"/>
  <c r="G11" i="1" a="1"/>
  <c r="G23" i="1" a="1"/>
  <c r="G5" i="1" a="1"/>
  <c r="G6" i="1" a="1"/>
  <c r="G10" i="1" a="1"/>
  <c r="G14" i="1" a="1"/>
  <c r="G18" i="1" a="1"/>
  <c r="G22" i="1" a="1"/>
  <c r="G19" i="1" a="1"/>
  <c r="G7" i="1" a="1"/>
  <c r="G4" i="1" a="1"/>
  <c r="G8" i="1" a="1"/>
  <c r="G12" i="1" a="1"/>
  <c r="G16" i="1" a="1"/>
  <c r="G20" i="1" a="1"/>
  <c r="G15" i="1" a="1"/>
  <c r="G3" i="1" a="1"/>
  <c r="K16" i="1" l="1"/>
  <c r="K4" i="1"/>
  <c r="K19" i="1"/>
  <c r="K7" i="1"/>
  <c r="K22" i="1"/>
  <c r="K18" i="1"/>
  <c r="K14" i="1"/>
  <c r="K10" i="1"/>
  <c r="K6" i="1"/>
  <c r="K20" i="1"/>
  <c r="K12" i="1"/>
  <c r="K8" i="1"/>
  <c r="K23" i="1"/>
  <c r="K15" i="1"/>
  <c r="K11" i="1"/>
  <c r="K21" i="1"/>
  <c r="K17" i="1"/>
  <c r="K13" i="1"/>
  <c r="K9" i="1"/>
  <c r="K5" i="1"/>
  <c r="K3" i="1"/>
  <c r="J20" i="1"/>
  <c r="J15" i="1"/>
  <c r="J11" i="1"/>
  <c r="J7" i="1"/>
  <c r="J22" i="1"/>
  <c r="J14" i="1"/>
  <c r="J6" i="1"/>
  <c r="J10" i="1"/>
  <c r="J23" i="1"/>
  <c r="J18" i="1"/>
  <c r="J17" i="1"/>
  <c r="J5" i="1"/>
  <c r="J19" i="1"/>
  <c r="J21" i="1"/>
  <c r="J13" i="1"/>
  <c r="J9" i="1"/>
  <c r="J16" i="1"/>
  <c r="J12" i="1"/>
  <c r="J8" i="1"/>
  <c r="J4" i="1"/>
  <c r="J3" i="1"/>
  <c r="I9" i="1"/>
  <c r="I16" i="1"/>
  <c r="I4" i="1"/>
  <c r="I23" i="1"/>
  <c r="I19" i="1"/>
  <c r="I15" i="1"/>
  <c r="I11" i="1"/>
  <c r="I7" i="1"/>
  <c r="I17" i="1"/>
  <c r="I5" i="1"/>
  <c r="I20" i="1"/>
  <c r="I8" i="1"/>
  <c r="I22" i="1"/>
  <c r="I18" i="1"/>
  <c r="I14" i="1"/>
  <c r="I6" i="1"/>
  <c r="I21" i="1"/>
  <c r="I13" i="1"/>
  <c r="I12" i="1"/>
  <c r="I10" i="1"/>
  <c r="I3" i="1"/>
  <c r="H7" i="1"/>
  <c r="H11" i="1"/>
  <c r="H6" i="1"/>
  <c r="H9" i="1"/>
  <c r="H23" i="1"/>
  <c r="H15" i="1"/>
  <c r="H18" i="1"/>
  <c r="H14" i="1"/>
  <c r="H10" i="1"/>
  <c r="H21" i="1"/>
  <c r="H17" i="1"/>
  <c r="H13" i="1"/>
  <c r="H5" i="1"/>
  <c r="H19" i="1"/>
  <c r="H22" i="1"/>
  <c r="H20" i="1"/>
  <c r="H16" i="1"/>
  <c r="H12" i="1"/>
  <c r="H8" i="1"/>
  <c r="H4" i="1"/>
  <c r="H3" i="1"/>
  <c r="G15" i="1"/>
  <c r="G20" i="1"/>
  <c r="G16" i="1"/>
  <c r="G12" i="1"/>
  <c r="G8" i="1"/>
  <c r="G4" i="1"/>
  <c r="G7" i="1"/>
  <c r="G19" i="1"/>
  <c r="G22" i="1"/>
  <c r="G18" i="1"/>
  <c r="G14" i="1"/>
  <c r="G10" i="1"/>
  <c r="G6" i="1"/>
  <c r="G5" i="1"/>
  <c r="G23" i="1"/>
  <c r="G11" i="1"/>
  <c r="G21" i="1"/>
  <c r="G17" i="1"/>
  <c r="G13" i="1"/>
  <c r="G9" i="1"/>
  <c r="G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<sst xmlns="http://schemas.openxmlformats.org/spreadsheetml/2006/main" count="75" uniqueCount="54">
  <si>
    <t>성별</t>
  </si>
  <si>
    <t>MGG10</t>
  </si>
  <si>
    <t>경기</t>
  </si>
  <si>
    <t>WJN10</t>
  </si>
  <si>
    <t>전남</t>
  </si>
  <si>
    <t>MSO10</t>
  </si>
  <si>
    <t>서울</t>
  </si>
  <si>
    <t>WCB10</t>
  </si>
  <si>
    <t>충북</t>
  </si>
  <si>
    <t>WCN10</t>
  </si>
  <si>
    <t>충남</t>
  </si>
  <si>
    <t>MGB10</t>
  </si>
  <si>
    <t>경북</t>
  </si>
  <si>
    <t>WGB10</t>
  </si>
  <si>
    <t>MGN10</t>
  </si>
  <si>
    <t>경남</t>
  </si>
  <si>
    <t>WGN10</t>
  </si>
  <si>
    <t>MCB10</t>
  </si>
  <si>
    <t>WSO10</t>
  </si>
  <si>
    <t>MJB10</t>
  </si>
  <si>
    <t>전북</t>
  </si>
  <si>
    <t>MCN10</t>
  </si>
  <si>
    <t>[표1]</t>
    <phoneticPr fontId="2" type="noConversion"/>
  </si>
  <si>
    <t>금액</t>
  </si>
  <si>
    <t>임송이</t>
    <phoneticPr fontId="2" type="noConversion"/>
  </si>
  <si>
    <t>이예솔</t>
    <phoneticPr fontId="2" type="noConversion"/>
  </si>
  <si>
    <t>화원</t>
    <phoneticPr fontId="2" type="noConversion"/>
  </si>
  <si>
    <t>조다빈</t>
    <phoneticPr fontId="2" type="noConversion"/>
  </si>
  <si>
    <t>임동아</t>
    <phoneticPr fontId="2" type="noConversion"/>
  </si>
  <si>
    <t>최원</t>
    <phoneticPr fontId="2" type="noConversion"/>
  </si>
  <si>
    <t>김원준</t>
    <phoneticPr fontId="2" type="noConversion"/>
  </si>
  <si>
    <t>강예림</t>
    <phoneticPr fontId="2" type="noConversion"/>
  </si>
  <si>
    <t>권서영</t>
    <phoneticPr fontId="2" type="noConversion"/>
  </si>
  <si>
    <t>박준혁</t>
    <phoneticPr fontId="2" type="noConversion"/>
  </si>
  <si>
    <t>정서율</t>
    <phoneticPr fontId="2" type="noConversion"/>
  </si>
  <si>
    <t>김다영</t>
    <phoneticPr fontId="2" type="noConversion"/>
  </si>
  <si>
    <t>정보미</t>
    <phoneticPr fontId="2" type="noConversion"/>
  </si>
  <si>
    <t>강지민</t>
    <phoneticPr fontId="2" type="noConversion"/>
  </si>
  <si>
    <t>고예지</t>
    <phoneticPr fontId="2" type="noConversion"/>
  </si>
  <si>
    <t>유슬기</t>
    <phoneticPr fontId="2" type="noConversion"/>
  </si>
  <si>
    <t>정지수</t>
    <phoneticPr fontId="2" type="noConversion"/>
  </si>
  <si>
    <t>송현아</t>
    <phoneticPr fontId="2" type="noConversion"/>
  </si>
  <si>
    <t>박정환</t>
    <phoneticPr fontId="2" type="noConversion"/>
  </si>
  <si>
    <t>서건수</t>
    <phoneticPr fontId="2" type="noConversion"/>
  </si>
  <si>
    <t>최디노</t>
    <phoneticPr fontId="2" type="noConversion"/>
  </si>
  <si>
    <t>코드</t>
    <phoneticPr fontId="2" type="noConversion"/>
  </si>
  <si>
    <t>이름</t>
    <phoneticPr fontId="2" type="noConversion"/>
  </si>
  <si>
    <t>소속</t>
    <phoneticPr fontId="2" type="noConversion"/>
  </si>
  <si>
    <t>분기</t>
    <phoneticPr fontId="2" type="noConversion"/>
  </si>
  <si>
    <t>계약일</t>
    <phoneticPr fontId="2" type="noConversion"/>
  </si>
  <si>
    <t>비고</t>
    <phoneticPr fontId="2" type="noConversion"/>
  </si>
  <si>
    <t>통계</t>
    <phoneticPr fontId="2" type="noConversion"/>
  </si>
  <si>
    <t>단가</t>
    <phoneticPr fontId="2" type="noConversion"/>
  </si>
  <si>
    <t>평가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</si>
</sst>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[h]:mm"/>
  </numFmts>
  <fonts count="7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color indexed="8"/>
      <name val="맑은 고딕"/>
      <family val="3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4" fillId="0" borderId="0">
      <alignment vertical="center"/>
    </xf>
  </cellStyleXfs>
  <cellXfs count="12">
    <xf numFmtId="0" fontId="0" fillId="0" borderId="0" xfId="0">
      <alignment vertical="center"/>
    </xf>
    <xf numFmtId="0" fontId="3" fillId="0" borderId="1" xfId="0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41" fontId="0" fillId="0" borderId="1" xfId="1" applyFont="1" applyBorder="1">
      <alignment vertical="center"/>
    </xf>
    <xf numFmtId="0" fontId="0" fillId="0" borderId="1" xfId="0" applyBorder="1">
      <alignment vertical="center"/>
    </xf>
    <xf numFmtId="0" fontId="5" fillId="0" borderId="1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14" fontId="0" fillId="0" borderId="1" xfId="0" applyNumberFormat="1" applyBorder="1">
      <alignment vertical="center"/>
    </xf>
  </cellXfs>
  <cellStyles count="3">
    <cellStyle name="쉼표 [0]" xfId="1" builtinId="6"/>
    <cellStyle name="표준" xfId="0" builtinId="0"/>
    <cellStyle name="표준 2" xfId="2" xr:uid="{3BA6F866-4D64-4840-8E98-D5ACA84F766A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646883-A092-4BA2-859D-CD0978FB31AD}">
  <sheetPr codeName="Sheet1"/>
  <dimension ref="A1:K23"/>
  <sheetViews>
    <sheetView tabSelected="1" workbookViewId="0">
      <selection activeCell="B9" sqref="B9"/>
    </sheetView>
  </sheetViews>
  <sheetFormatPr defaultRowHeight="16.5" x14ac:dyDescent="0.3"/>
  <cols>
    <col min="4" max="4" width="11.125" bestFit="1" customWidth="1"/>
    <col min="5" max="6" width="9.375" bestFit="1" customWidth="1"/>
    <col min="9" max="9" width="16.625" customWidth="1"/>
  </cols>
  <sheetData>
    <row r="1" spans="1:11" x14ac:dyDescent="0.3">
      <c r="A1" t="s">
        <v>22</v>
      </c>
    </row>
    <row r="2" spans="1:11" x14ac:dyDescent="0.3">
      <c r="A2" s="1" t="s">
        <v>46</v>
      </c>
      <c r="B2" s="1" t="s">
        <v>45</v>
      </c>
      <c r="C2" s="5" t="s">
        <v>47</v>
      </c>
      <c r="D2" s="5" t="s">
        <v>49</v>
      </c>
      <c r="E2" s="7" t="s">
        <v>23</v>
      </c>
      <c r="F2" s="7" t="s">
        <v>52</v>
      </c>
      <c r="G2" s="2" t="s">
        <v>0</v>
      </c>
      <c r="H2" s="5" t="s">
        <v>51</v>
      </c>
      <c r="I2" s="5" t="s">
        <v>53</v>
      </c>
      <c r="J2" s="7" t="s">
        <v>50</v>
      </c>
      <c r="K2" s="7" t="s">
        <v>48</v>
      </c>
    </row>
    <row r="3" spans="1:11" x14ac:dyDescent="0.3">
      <c r="A3" s="9" t="s">
        <v>38</v>
      </c>
      <c r="B3" s="1" t="s">
        <v>1</v>
      </c>
      <c r="C3" s="1" t="s">
        <v>2</v>
      </c>
      <c r="D3" s="11">
        <v>45292</v>
      </c>
      <c r="E3" s="6">
        <v>612700</v>
      </c>
      <c r="F3" s="6">
        <v>100000</v>
      </c>
      <c r="G3" s="3" t="str" cm="1">
        <f t="array" ref="G3">fn성별(B3)</f>
        <v>남</v>
      </c>
      <c r="H3" s="7" t="str" cm="1">
        <f t="array" ref="H3">fn통계(E3)</f>
        <v>상</v>
      </c>
      <c r="I3" s="7" t="str" cm="1">
        <f t="array" ref="I3">fn평가(E3,F3)</f>
        <v>★★★★★★</v>
      </c>
      <c r="J3" s="7" t="str" cm="1">
        <f t="array" ref="J3">fn비고(C3,E3)</f>
        <v>경기-상</v>
      </c>
      <c r="K3" s="7" t="str" cm="1">
        <f t="array" ref="K3">fn분기(D3)</f>
        <v>1사분기</v>
      </c>
    </row>
    <row r="4" spans="1:11" x14ac:dyDescent="0.3">
      <c r="A4" s="10" t="s">
        <v>39</v>
      </c>
      <c r="B4" s="1" t="s">
        <v>3</v>
      </c>
      <c r="C4" s="1" t="s">
        <v>4</v>
      </c>
      <c r="D4" s="11">
        <v>45292</v>
      </c>
      <c r="E4" s="6">
        <v>230000</v>
      </c>
      <c r="F4" s="6">
        <v>200000</v>
      </c>
      <c r="G4" s="3" t="str" cm="1">
        <f t="array" ref="G4">fn성별(B4)</f>
        <v>여</v>
      </c>
      <c r="H4" s="7" t="str" cm="1">
        <f t="array" ref="H4">fn통계(E4)</f>
        <v>중</v>
      </c>
      <c r="I4" s="7" t="str" cm="1">
        <f t="array" ref="I4">fn평가(E4,F4)</f>
        <v>★</v>
      </c>
      <c r="J4" s="7" t="str" cm="1">
        <f t="array" ref="J4">fn비고(C4,E4)</f>
        <v/>
      </c>
      <c r="K4" s="7" t="str" cm="1">
        <f t="array" ref="K4">fn분기(D4)</f>
        <v>1사분기</v>
      </c>
    </row>
    <row r="5" spans="1:11" x14ac:dyDescent="0.3">
      <c r="A5" s="10" t="s">
        <v>40</v>
      </c>
      <c r="B5" s="1" t="s">
        <v>5</v>
      </c>
      <c r="C5" s="1" t="s">
        <v>6</v>
      </c>
      <c r="D5" s="11">
        <v>45292</v>
      </c>
      <c r="E5" s="6">
        <v>460000</v>
      </c>
      <c r="F5" s="6">
        <v>300000</v>
      </c>
      <c r="G5" s="3" t="str" cm="1">
        <f t="array" ref="G5">fn성별(B5)</f>
        <v>남</v>
      </c>
      <c r="H5" s="7" t="str" cm="1">
        <f t="array" ref="H5">fn통계(E5)</f>
        <v>중</v>
      </c>
      <c r="I5" s="7" t="str" cm="1">
        <f t="array" ref="I5">fn평가(E5,F5)</f>
        <v>★</v>
      </c>
      <c r="J5" s="7" t="str" cm="1">
        <f t="array" ref="J5">fn비고(C5,E5)</f>
        <v/>
      </c>
      <c r="K5" s="7" t="str" cm="1">
        <f t="array" ref="K5">fn분기(D5)</f>
        <v>1사분기</v>
      </c>
    </row>
    <row r="6" spans="1:11" x14ac:dyDescent="0.3">
      <c r="A6" s="10" t="s">
        <v>41</v>
      </c>
      <c r="B6" s="4" t="s">
        <v>7</v>
      </c>
      <c r="C6" s="1" t="s">
        <v>8</v>
      </c>
      <c r="D6" s="11">
        <v>45292</v>
      </c>
      <c r="E6" s="6">
        <v>300000</v>
      </c>
      <c r="F6" s="6">
        <v>100000</v>
      </c>
      <c r="G6" s="3" t="str" cm="1">
        <f t="array" ref="G6">fn성별(B6)</f>
        <v>여</v>
      </c>
      <c r="H6" s="7" t="str" cm="1">
        <f t="array" ref="H6">fn통계(E6)</f>
        <v>중</v>
      </c>
      <c r="I6" s="7" t="str" cm="1">
        <f t="array" ref="I6">fn평가(E6,F6)</f>
        <v>★★★</v>
      </c>
      <c r="J6" s="7" t="str" cm="1">
        <f t="array" ref="J6">fn비고(C6,E6)</f>
        <v/>
      </c>
      <c r="K6" s="7" t="str" cm="1">
        <f t="array" ref="K6">fn분기(D6)</f>
        <v>1사분기</v>
      </c>
    </row>
    <row r="7" spans="1:11" x14ac:dyDescent="0.3">
      <c r="A7" s="10" t="s">
        <v>42</v>
      </c>
      <c r="B7" s="1" t="s">
        <v>9</v>
      </c>
      <c r="C7" s="1" t="s">
        <v>10</v>
      </c>
      <c r="D7" s="11">
        <v>45292</v>
      </c>
      <c r="E7" s="6">
        <v>536790</v>
      </c>
      <c r="F7" s="6">
        <v>200000</v>
      </c>
      <c r="G7" s="3" t="str" cm="1">
        <f t="array" ref="G7">fn성별(B7)</f>
        <v>여</v>
      </c>
      <c r="H7" s="7" t="str" cm="1">
        <f t="array" ref="H7">fn통계(E7)</f>
        <v>상</v>
      </c>
      <c r="I7" s="7" t="str" cm="1">
        <f t="array" ref="I7">fn평가(E7,F7)</f>
        <v>★★</v>
      </c>
      <c r="J7" s="7" t="str" cm="1">
        <f t="array" ref="J7">fn비고(C7,E7)</f>
        <v/>
      </c>
      <c r="K7" s="7" t="str" cm="1">
        <f t="array" ref="K7">fn분기(D7)</f>
        <v>1사분기</v>
      </c>
    </row>
    <row r="8" spans="1:11" x14ac:dyDescent="0.3">
      <c r="A8" s="10" t="s">
        <v>43</v>
      </c>
      <c r="B8" s="4" t="s">
        <v>7</v>
      </c>
      <c r="C8" s="1" t="s">
        <v>8</v>
      </c>
      <c r="D8" s="11">
        <v>45292</v>
      </c>
      <c r="E8" s="6">
        <v>573820</v>
      </c>
      <c r="F8" s="6">
        <v>300000</v>
      </c>
      <c r="G8" s="3" t="str" cm="1">
        <f t="array" ref="G8">fn성별(B8)</f>
        <v>여</v>
      </c>
      <c r="H8" s="7" t="str" cm="1">
        <f t="array" ref="H8">fn통계(E8)</f>
        <v>상</v>
      </c>
      <c r="I8" s="7" t="str" cm="1">
        <f t="array" ref="I8">fn평가(E8,F8)</f>
        <v>★</v>
      </c>
      <c r="J8" s="7" t="str" cm="1">
        <f t="array" ref="J8">fn비고(C8,E8)</f>
        <v/>
      </c>
      <c r="K8" s="7" t="str" cm="1">
        <f t="array" ref="K8">fn분기(D8)</f>
        <v>1사분기</v>
      </c>
    </row>
    <row r="9" spans="1:11" x14ac:dyDescent="0.3">
      <c r="A9" s="10" t="s">
        <v>44</v>
      </c>
      <c r="B9" s="1" t="s">
        <v>11</v>
      </c>
      <c r="C9" s="1" t="s">
        <v>12</v>
      </c>
      <c r="D9" s="11">
        <v>45413</v>
      </c>
      <c r="E9" s="6">
        <v>235200</v>
      </c>
      <c r="F9" s="6">
        <v>100000</v>
      </c>
      <c r="G9" s="3" t="str" cm="1">
        <f t="array" ref="G9">fn성별(B9)</f>
        <v>남</v>
      </c>
      <c r="H9" s="7" t="str" cm="1">
        <f t="array" ref="H9">fn통계(E9)</f>
        <v>중</v>
      </c>
      <c r="I9" s="7" t="str" cm="1">
        <f t="array" ref="I9">fn평가(E9,F9)</f>
        <v>★★</v>
      </c>
      <c r="J9" s="7" t="str" cm="1">
        <f t="array" ref="J9">fn비고(C9,E9)</f>
        <v/>
      </c>
      <c r="K9" s="7" t="str" cm="1">
        <f t="array" ref="K9">fn분기(D9)</f>
        <v>2사분기</v>
      </c>
    </row>
    <row r="10" spans="1:11" x14ac:dyDescent="0.3">
      <c r="A10" s="4" t="s">
        <v>24</v>
      </c>
      <c r="B10" s="1" t="s">
        <v>13</v>
      </c>
      <c r="C10" s="1" t="s">
        <v>12</v>
      </c>
      <c r="D10" s="11">
        <v>45413</v>
      </c>
      <c r="E10" s="6">
        <v>586000</v>
      </c>
      <c r="F10" s="6">
        <v>200000</v>
      </c>
      <c r="G10" s="3" t="str" cm="1">
        <f t="array" ref="G10">fn성별(B10)</f>
        <v>여</v>
      </c>
      <c r="H10" s="7" t="str" cm="1">
        <f t="array" ref="H10">fn통계(E10)</f>
        <v>상</v>
      </c>
      <c r="I10" s="7" t="str" cm="1">
        <f t="array" ref="I10">fn평가(E10,F10)</f>
        <v>★★</v>
      </c>
      <c r="J10" s="7" t="str" cm="1">
        <f t="array" ref="J10">fn비고(C10,E10)</f>
        <v/>
      </c>
      <c r="K10" s="7" t="str" cm="1">
        <f t="array" ref="K10">fn분기(D10)</f>
        <v>2사분기</v>
      </c>
    </row>
    <row r="11" spans="1:11" x14ac:dyDescent="0.3">
      <c r="A11" s="4" t="s">
        <v>25</v>
      </c>
      <c r="B11" s="1" t="s">
        <v>1</v>
      </c>
      <c r="C11" s="1" t="s">
        <v>2</v>
      </c>
      <c r="D11" s="11">
        <v>45413</v>
      </c>
      <c r="E11" s="6">
        <v>417840</v>
      </c>
      <c r="F11" s="6">
        <v>300000</v>
      </c>
      <c r="G11" s="3" t="str" cm="1">
        <f t="array" ref="G11">fn성별(B11)</f>
        <v>남</v>
      </c>
      <c r="H11" s="7" t="str" cm="1">
        <f t="array" ref="H11">fn통계(E11)</f>
        <v>중</v>
      </c>
      <c r="I11" s="7" t="str" cm="1">
        <f t="array" ref="I11">fn평가(E11,F11)</f>
        <v>★</v>
      </c>
      <c r="J11" s="7" t="str" cm="1">
        <f t="array" ref="J11">fn비고(C11,E11)</f>
        <v/>
      </c>
      <c r="K11" s="7" t="str" cm="1">
        <f t="array" ref="K11">fn분기(D11)</f>
        <v>2사분기</v>
      </c>
    </row>
    <row r="12" spans="1:11" x14ac:dyDescent="0.3">
      <c r="A12" s="4" t="s">
        <v>26</v>
      </c>
      <c r="B12" s="1" t="s">
        <v>14</v>
      </c>
      <c r="C12" s="1" t="s">
        <v>15</v>
      </c>
      <c r="D12" s="11">
        <v>45413</v>
      </c>
      <c r="E12" s="6">
        <v>220000</v>
      </c>
      <c r="F12" s="6">
        <v>100000</v>
      </c>
      <c r="G12" s="3" t="str" cm="1">
        <f t="array" ref="G12">fn성별(B12)</f>
        <v>남</v>
      </c>
      <c r="H12" s="7" t="str" cm="1">
        <f t="array" ref="H12">fn통계(E12)</f>
        <v>중</v>
      </c>
      <c r="I12" s="7" t="str" cm="1">
        <f t="array" ref="I12">fn평가(E12,F12)</f>
        <v>★★</v>
      </c>
      <c r="J12" s="7" t="str" cm="1">
        <f t="array" ref="J12">fn비고(C12,E12)</f>
        <v/>
      </c>
      <c r="K12" s="7" t="str" cm="1">
        <f t="array" ref="K12">fn분기(D12)</f>
        <v>2사분기</v>
      </c>
    </row>
    <row r="13" spans="1:11" x14ac:dyDescent="0.3">
      <c r="A13" s="4" t="s">
        <v>27</v>
      </c>
      <c r="B13" s="1" t="s">
        <v>16</v>
      </c>
      <c r="C13" s="1" t="s">
        <v>15</v>
      </c>
      <c r="D13" s="11">
        <v>45413</v>
      </c>
      <c r="E13" s="6">
        <v>447000</v>
      </c>
      <c r="F13" s="6">
        <v>200000</v>
      </c>
      <c r="G13" s="3" t="str" cm="1">
        <f t="array" ref="G13">fn성별(B13)</f>
        <v>여</v>
      </c>
      <c r="H13" s="7" t="str" cm="1">
        <f t="array" ref="H13">fn통계(E13)</f>
        <v>중</v>
      </c>
      <c r="I13" s="7" t="str" cm="1">
        <f t="array" ref="I13">fn평가(E13,F13)</f>
        <v>★★</v>
      </c>
      <c r="J13" s="7" t="str" cm="1">
        <f t="array" ref="J13">fn비고(C13,E13)</f>
        <v/>
      </c>
      <c r="K13" s="7" t="str" cm="1">
        <f t="array" ref="K13">fn분기(D13)</f>
        <v>2사분기</v>
      </c>
    </row>
    <row r="14" spans="1:11" x14ac:dyDescent="0.3">
      <c r="A14" s="4" t="s">
        <v>28</v>
      </c>
      <c r="B14" s="1" t="s">
        <v>1</v>
      </c>
      <c r="C14" s="1" t="s">
        <v>2</v>
      </c>
      <c r="D14" s="11">
        <v>45505</v>
      </c>
      <c r="E14" s="6">
        <v>884000</v>
      </c>
      <c r="F14" s="6">
        <v>300000</v>
      </c>
      <c r="G14" s="3" t="str" cm="1">
        <f t="array" ref="G14">fn성별(B14)</f>
        <v>남</v>
      </c>
      <c r="H14" s="7" t="str" cm="1">
        <f t="array" ref="H14">fn통계(E14)</f>
        <v>상</v>
      </c>
      <c r="I14" s="7" t="str" cm="1">
        <f t="array" ref="I14">fn평가(E14,F14)</f>
        <v>★★</v>
      </c>
      <c r="J14" s="7" t="str" cm="1">
        <f t="array" ref="J14">fn비고(C14,E14)</f>
        <v>경기-상</v>
      </c>
      <c r="K14" s="7" t="str" cm="1">
        <f t="array" ref="K14">fn분기(D14)</f>
        <v>3사분기</v>
      </c>
    </row>
    <row r="15" spans="1:11" x14ac:dyDescent="0.3">
      <c r="A15" s="4" t="s">
        <v>29</v>
      </c>
      <c r="B15" s="1" t="s">
        <v>16</v>
      </c>
      <c r="C15" s="1" t="s">
        <v>15</v>
      </c>
      <c r="D15" s="11">
        <v>45505</v>
      </c>
      <c r="E15" s="6">
        <v>107190</v>
      </c>
      <c r="F15" s="6">
        <v>100000</v>
      </c>
      <c r="G15" s="3" t="str" cm="1">
        <f t="array" ref="G15">fn성별(B15)</f>
        <v>여</v>
      </c>
      <c r="H15" s="7" t="str" cm="1">
        <f t="array" ref="H15">fn통계(E15)</f>
        <v>하</v>
      </c>
      <c r="I15" s="7" t="str" cm="1">
        <f t="array" ref="I15">fn평가(E15,F15)</f>
        <v>★</v>
      </c>
      <c r="J15" s="7" t="str" cm="1">
        <f t="array" ref="J15">fn비고(C15,E15)</f>
        <v/>
      </c>
      <c r="K15" s="7" t="str" cm="1">
        <f t="array" ref="K15">fn분기(D15)</f>
        <v>3사분기</v>
      </c>
    </row>
    <row r="16" spans="1:11" x14ac:dyDescent="0.3">
      <c r="A16" s="4" t="s">
        <v>30</v>
      </c>
      <c r="B16" s="1" t="s">
        <v>3</v>
      </c>
      <c r="C16" s="1" t="s">
        <v>4</v>
      </c>
      <c r="D16" s="11">
        <v>45505</v>
      </c>
      <c r="E16" s="6">
        <v>360600</v>
      </c>
      <c r="F16" s="6">
        <v>200000</v>
      </c>
      <c r="G16" s="3" t="str" cm="1">
        <f t="array" ref="G16">fn성별(B16)</f>
        <v>여</v>
      </c>
      <c r="H16" s="7" t="str" cm="1">
        <f t="array" ref="H16">fn통계(E16)</f>
        <v>중</v>
      </c>
      <c r="I16" s="7" t="str" cm="1">
        <f t="array" ref="I16">fn평가(E16,F16)</f>
        <v>★</v>
      </c>
      <c r="J16" s="7" t="str" cm="1">
        <f t="array" ref="J16">fn비고(C16,E16)</f>
        <v/>
      </c>
      <c r="K16" s="7" t="str" cm="1">
        <f t="array" ref="K16">fn분기(D16)</f>
        <v>3사분기</v>
      </c>
    </row>
    <row r="17" spans="1:11" x14ac:dyDescent="0.3">
      <c r="A17" s="8" t="s">
        <v>31</v>
      </c>
      <c r="B17" s="1" t="s">
        <v>17</v>
      </c>
      <c r="C17" s="1" t="s">
        <v>8</v>
      </c>
      <c r="D17" s="11">
        <v>45505</v>
      </c>
      <c r="E17" s="6">
        <v>445000</v>
      </c>
      <c r="F17" s="6">
        <v>300000</v>
      </c>
      <c r="G17" s="3" t="str" cm="1">
        <f t="array" ref="G17">fn성별(B17)</f>
        <v>남</v>
      </c>
      <c r="H17" s="7" t="str" cm="1">
        <f t="array" ref="H17">fn통계(E17)</f>
        <v>중</v>
      </c>
      <c r="I17" s="7" t="str" cm="1">
        <f t="array" ref="I17">fn평가(E17,F17)</f>
        <v>★</v>
      </c>
      <c r="J17" s="7" t="str" cm="1">
        <f t="array" ref="J17">fn비고(C17,E17)</f>
        <v/>
      </c>
      <c r="K17" s="7" t="str" cm="1">
        <f t="array" ref="K17">fn분기(D17)</f>
        <v>3사분기</v>
      </c>
    </row>
    <row r="18" spans="1:11" x14ac:dyDescent="0.3">
      <c r="A18" s="8" t="s">
        <v>32</v>
      </c>
      <c r="B18" s="1" t="s">
        <v>11</v>
      </c>
      <c r="C18" s="1" t="s">
        <v>12</v>
      </c>
      <c r="D18" s="11">
        <v>45505</v>
      </c>
      <c r="E18" s="6">
        <v>231000</v>
      </c>
      <c r="F18" s="6">
        <v>100000</v>
      </c>
      <c r="G18" s="3" t="str" cm="1">
        <f t="array" ref="G18">fn성별(B18)</f>
        <v>남</v>
      </c>
      <c r="H18" s="7" t="str" cm="1">
        <f t="array" ref="H18">fn통계(E18)</f>
        <v>중</v>
      </c>
      <c r="I18" s="7" t="str" cm="1">
        <f t="array" ref="I18">fn평가(E18,F18)</f>
        <v>★★</v>
      </c>
      <c r="J18" s="7" t="str" cm="1">
        <f t="array" ref="J18">fn비고(C18,E18)</f>
        <v/>
      </c>
      <c r="K18" s="7" t="str" cm="1">
        <f t="array" ref="K18">fn분기(D18)</f>
        <v>3사분기</v>
      </c>
    </row>
    <row r="19" spans="1:11" x14ac:dyDescent="0.3">
      <c r="A19" s="8" t="s">
        <v>33</v>
      </c>
      <c r="B19" s="1" t="s">
        <v>18</v>
      </c>
      <c r="C19" s="1" t="s">
        <v>6</v>
      </c>
      <c r="D19" s="11">
        <v>45627</v>
      </c>
      <c r="E19" s="6">
        <v>283341</v>
      </c>
      <c r="F19" s="6">
        <v>200000</v>
      </c>
      <c r="G19" s="3" t="str" cm="1">
        <f t="array" ref="G19">fn성별(B19)</f>
        <v>여</v>
      </c>
      <c r="H19" s="7" t="str" cm="1">
        <f t="array" ref="H19">fn통계(E19)</f>
        <v>중</v>
      </c>
      <c r="I19" s="7" t="str" cm="1">
        <f t="array" ref="I19">fn평가(E19,F19)</f>
        <v>★</v>
      </c>
      <c r="J19" s="7" t="str" cm="1">
        <f t="array" ref="J19">fn비고(C19,E19)</f>
        <v/>
      </c>
      <c r="K19" s="7" t="str" cm="1">
        <f t="array" ref="K19">fn분기(D19)</f>
        <v>4사분기</v>
      </c>
    </row>
    <row r="20" spans="1:11" x14ac:dyDescent="0.3">
      <c r="A20" s="8" t="s">
        <v>34</v>
      </c>
      <c r="B20" s="1" t="s">
        <v>19</v>
      </c>
      <c r="C20" s="1" t="s">
        <v>20</v>
      </c>
      <c r="D20" s="11">
        <v>45627</v>
      </c>
      <c r="E20" s="6">
        <v>315642</v>
      </c>
      <c r="F20" s="6">
        <v>300000</v>
      </c>
      <c r="G20" s="3" t="str" cm="1">
        <f t="array" ref="G20">fn성별(B20)</f>
        <v>남</v>
      </c>
      <c r="H20" s="7" t="str" cm="1">
        <f t="array" ref="H20">fn통계(E20)</f>
        <v>중</v>
      </c>
      <c r="I20" s="7" t="str" cm="1">
        <f t="array" ref="I20">fn평가(E20,F20)</f>
        <v>★</v>
      </c>
      <c r="J20" s="7" t="str" cm="1">
        <f t="array" ref="J20">fn비고(C20,E20)</f>
        <v/>
      </c>
      <c r="K20" s="7" t="str" cm="1">
        <f t="array" ref="K20">fn분기(D20)</f>
        <v>4사분기</v>
      </c>
    </row>
    <row r="21" spans="1:11" x14ac:dyDescent="0.3">
      <c r="A21" s="8" t="s">
        <v>35</v>
      </c>
      <c r="B21" s="1" t="s">
        <v>21</v>
      </c>
      <c r="C21" s="1" t="s">
        <v>10</v>
      </c>
      <c r="D21" s="11">
        <v>45627</v>
      </c>
      <c r="E21" s="6">
        <v>347943</v>
      </c>
      <c r="F21" s="6">
        <v>100000</v>
      </c>
      <c r="G21" s="3" t="str" cm="1">
        <f t="array" ref="G21">fn성별(B21)</f>
        <v>남</v>
      </c>
      <c r="H21" s="7" t="str" cm="1">
        <f t="array" ref="H21">fn통계(E21)</f>
        <v>중</v>
      </c>
      <c r="I21" s="7" t="str" cm="1">
        <f t="array" ref="I21">fn평가(E21,F21)</f>
        <v>★★★</v>
      </c>
      <c r="J21" s="7" t="str" cm="1">
        <f t="array" ref="J21">fn비고(C21,E21)</f>
        <v/>
      </c>
      <c r="K21" s="7" t="str" cm="1">
        <f t="array" ref="K21">fn분기(D21)</f>
        <v>4사분기</v>
      </c>
    </row>
    <row r="22" spans="1:11" x14ac:dyDescent="0.3">
      <c r="A22" s="8" t="s">
        <v>36</v>
      </c>
      <c r="B22" s="1" t="s">
        <v>9</v>
      </c>
      <c r="C22" s="1" t="s">
        <v>10</v>
      </c>
      <c r="D22" s="11">
        <v>45627</v>
      </c>
      <c r="E22" s="6">
        <v>380244</v>
      </c>
      <c r="F22" s="6">
        <v>200000</v>
      </c>
      <c r="G22" s="3" t="str" cm="1">
        <f t="array" ref="G22">fn성별(B22)</f>
        <v>여</v>
      </c>
      <c r="H22" s="7" t="str" cm="1">
        <f t="array" ref="H22">fn통계(E22)</f>
        <v>중</v>
      </c>
      <c r="I22" s="7" t="str" cm="1">
        <f t="array" ref="I22">fn평가(E22,F22)</f>
        <v>★</v>
      </c>
      <c r="J22" s="7" t="str" cm="1">
        <f t="array" ref="J22">fn비고(C22,E22)</f>
        <v/>
      </c>
      <c r="K22" s="7" t="str" cm="1">
        <f t="array" ref="K22">fn분기(D22)</f>
        <v>4사분기</v>
      </c>
    </row>
    <row r="23" spans="1:11" x14ac:dyDescent="0.3">
      <c r="A23" s="9" t="s">
        <v>37</v>
      </c>
      <c r="B23" s="1" t="s">
        <v>5</v>
      </c>
      <c r="C23" s="1" t="s">
        <v>6</v>
      </c>
      <c r="D23" s="11">
        <v>45627</v>
      </c>
      <c r="E23" s="6">
        <v>412545</v>
      </c>
      <c r="F23" s="6">
        <v>300000</v>
      </c>
      <c r="G23" s="3" t="str" cm="1">
        <f t="array" ref="G23">fn성별(B23)</f>
        <v>남</v>
      </c>
      <c r="H23" s="7" t="str" cm="1">
        <f t="array" ref="H23">fn통계(E23)</f>
        <v>중</v>
      </c>
      <c r="I23" s="7" t="str" cm="1">
        <f t="array" ref="I23">fn평가(E23,F23)</f>
        <v>★</v>
      </c>
      <c r="J23" s="7" t="str" cm="1">
        <f t="array" ref="J23">fn비고(C23,E23)</f>
        <v/>
      </c>
      <c r="K23" s="7" t="str" cm="1">
        <f t="array" ref="K23">fn분기(D23)</f>
        <v>4사분기</v>
      </c>
    </row>
  </sheetData>
  <phoneticPr fontId="2" type="noConversion"/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03052F-2EA8-4D02-89A5-3C2697C7CE00}">
  <sheetPr codeName="Sheet2"/>
  <dimension ref="A1"/>
  <sheetViews>
    <sheetView topLeftCell="A21" workbookViewId="0">
      <selection activeCell="C43" sqref="C43"/>
    </sheetView>
  </sheetViews>
  <sheetFormatPr defaultRowHeight="16.5" x14ac:dyDescent="0.3"/>
  <sheetData/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samsung</dc:creator>
  <cp:lastModifiedBy>문혜영</cp:lastModifiedBy>
  <dcterms:created xsi:type="dcterms:W3CDTF">2022-01-20T08:22:57Z</dcterms:created>
  <dcterms:modified xsi:type="dcterms:W3CDTF">2024-02-25T12:49:55Z</dcterms:modified>
</cp:coreProperties>
</file>