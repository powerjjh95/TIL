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samsung\OneDrive\바탕 화면\동영상제작\아이티고 컴활1급 실기 스프레드시트\실습파일\"/>
    </mc:Choice>
  </mc:AlternateContent>
  <xr:revisionPtr revIDLastSave="0" documentId="13_ncr:1_{3702AA0D-0FEF-4CF0-A449-7AA785AE6BD5}" xr6:coauthVersionLast="47" xr6:coauthVersionMax="47" xr10:uidLastSave="{00000000-0000-0000-0000-000000000000}"/>
  <bookViews>
    <workbookView xWindow="-120" yWindow="-120" windowWidth="19440" windowHeight="11040" xr2:uid="{31DB6155-C185-404E-9CFD-D11532ED19D5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32" i="1" l="1" a="1"/>
  <c r="I32" i="1" s="1"/>
  <c r="I33" i="1" a="1"/>
  <c r="I33" i="1" s="1"/>
  <c r="I34" i="1" a="1"/>
  <c r="I34" i="1" s="1"/>
  <c r="I31" i="1" a="1"/>
  <c r="I31" i="1" s="1"/>
  <c r="I22" i="1" a="1"/>
  <c r="I22" i="1" s="1"/>
  <c r="J22" i="1" a="1"/>
  <c r="J22" i="1" s="1"/>
  <c r="K22" i="1" a="1"/>
  <c r="K22" i="1"/>
  <c r="L22" i="1" a="1"/>
  <c r="L22" i="1" s="1"/>
  <c r="I23" i="1" a="1"/>
  <c r="I23" i="1" s="1"/>
  <c r="J23" i="1" a="1"/>
  <c r="J23" i="1" s="1"/>
  <c r="K23" i="1" a="1"/>
  <c r="K23" i="1"/>
  <c r="L23" i="1" a="1"/>
  <c r="L23" i="1"/>
  <c r="I24" i="1" a="1"/>
  <c r="I24" i="1" s="1"/>
  <c r="J24" i="1" a="1"/>
  <c r="J24" i="1" s="1"/>
  <c r="K24" i="1" a="1"/>
  <c r="K24" i="1"/>
  <c r="L24" i="1" a="1"/>
  <c r="L24" i="1" s="1"/>
  <c r="I25" i="1" a="1"/>
  <c r="I25" i="1" s="1"/>
  <c r="J25" i="1" a="1"/>
  <c r="J25" i="1" s="1"/>
  <c r="K25" i="1" a="1"/>
  <c r="K25" i="1"/>
  <c r="L25" i="1" a="1"/>
  <c r="L25" i="1"/>
  <c r="I26" i="1" a="1"/>
  <c r="I26" i="1" s="1"/>
  <c r="J26" i="1" a="1"/>
  <c r="J26" i="1" s="1"/>
  <c r="K26" i="1" a="1"/>
  <c r="K26" i="1"/>
  <c r="L26" i="1" a="1"/>
  <c r="L26" i="1" s="1"/>
  <c r="I27" i="1" a="1"/>
  <c r="I27" i="1" s="1"/>
  <c r="J27" i="1" a="1"/>
  <c r="J27" i="1" s="1"/>
  <c r="K27" i="1" a="1"/>
  <c r="K27" i="1" s="1"/>
  <c r="L27" i="1" a="1"/>
  <c r="L27" i="1" s="1"/>
  <c r="J21" i="1" a="1"/>
  <c r="J21" i="1" s="1"/>
  <c r="K21" i="1" a="1"/>
  <c r="K21" i="1" s="1"/>
  <c r="L21" i="1" a="1"/>
  <c r="L21" i="1" s="1"/>
  <c r="I21" i="1" a="1"/>
  <c r="I21" i="1" s="1"/>
  <c r="B12" i="1" a="1"/>
  <c r="B12" i="1"/>
  <c r="D5" i="1" a="1"/>
  <c r="D5" i="1" s="1"/>
  <c r="D6" i="1" a="1"/>
  <c r="D6" i="1" s="1"/>
  <c r="D7" i="1" a="1"/>
  <c r="D7" i="1" s="1"/>
  <c r="D8" i="1" a="1"/>
  <c r="D8" i="1" s="1"/>
  <c r="D4" i="1" a="1"/>
  <c r="D4" i="1" s="1"/>
  <c r="F21" i="1" a="1"/>
  <c r="F22" i="1" a="1"/>
  <c r="F26" i="1" a="1"/>
  <c r="F30" i="1" a="1"/>
  <c r="F34" i="1" a="1"/>
  <c r="F38" i="1" a="1"/>
  <c r="F42" i="1" a="1"/>
  <c r="F46" i="1" a="1"/>
  <c r="F50" i="1" a="1"/>
  <c r="F54" i="1" a="1"/>
  <c r="F58" i="1" a="1"/>
  <c r="F62" i="1" a="1"/>
  <c r="F66" i="1" a="1"/>
  <c r="F70" i="1" a="1"/>
  <c r="F74" i="1" a="1"/>
  <c r="F78" i="1" a="1"/>
  <c r="F82" i="1" a="1"/>
  <c r="F86" i="1" a="1"/>
  <c r="F90" i="1" a="1"/>
  <c r="F94" i="1" a="1"/>
  <c r="F98" i="1" a="1"/>
  <c r="F102" i="1" a="1"/>
  <c r="F68" i="1" a="1"/>
  <c r="F88" i="1" a="1"/>
  <c r="F100" i="1" a="1"/>
  <c r="F29" i="1" a="1"/>
  <c r="F49" i="1" a="1"/>
  <c r="F57" i="1" a="1"/>
  <c r="F69" i="1" a="1"/>
  <c r="F81" i="1" a="1"/>
  <c r="F93" i="1" a="1"/>
  <c r="F105" i="1" a="1"/>
  <c r="F37" i="1" a="1"/>
  <c r="F23" i="1" a="1"/>
  <c r="F27" i="1" a="1"/>
  <c r="F31" i="1" a="1"/>
  <c r="F35" i="1" a="1"/>
  <c r="F43" i="1" a="1"/>
  <c r="F47" i="1" a="1"/>
  <c r="F51" i="1" a="1"/>
  <c r="F55" i="1" a="1"/>
  <c r="F59" i="1" a="1"/>
  <c r="F63" i="1" a="1"/>
  <c r="F67" i="1" a="1"/>
  <c r="F71" i="1" a="1"/>
  <c r="F75" i="1" a="1"/>
  <c r="F79" i="1" a="1"/>
  <c r="F83" i="1" a="1"/>
  <c r="F87" i="1" a="1"/>
  <c r="F91" i="1" a="1"/>
  <c r="F95" i="1" a="1"/>
  <c r="F99" i="1" a="1"/>
  <c r="F28" i="1" a="1"/>
  <c r="F36" i="1" a="1"/>
  <c r="F44" i="1" a="1"/>
  <c r="F52" i="1" a="1"/>
  <c r="F60" i="1" a="1"/>
  <c r="F72" i="1" a="1"/>
  <c r="F84" i="1" a="1"/>
  <c r="F96" i="1" a="1"/>
  <c r="F25" i="1" a="1"/>
  <c r="F45" i="1" a="1"/>
  <c r="F61" i="1" a="1"/>
  <c r="F73" i="1" a="1"/>
  <c r="F85" i="1" a="1"/>
  <c r="F97" i="1" a="1"/>
  <c r="F39" i="1" a="1"/>
  <c r="F103" i="1" a="1"/>
  <c r="F32" i="1" a="1"/>
  <c r="F40" i="1" a="1"/>
  <c r="F48" i="1" a="1"/>
  <c r="F56" i="1" a="1"/>
  <c r="F64" i="1" a="1"/>
  <c r="F76" i="1" a="1"/>
  <c r="F80" i="1" a="1"/>
  <c r="F92" i="1" a="1"/>
  <c r="F104" i="1" a="1"/>
  <c r="F33" i="1" a="1"/>
  <c r="F41" i="1" a="1"/>
  <c r="F53" i="1" a="1"/>
  <c r="F65" i="1" a="1"/>
  <c r="F77" i="1" a="1"/>
  <c r="F89" i="1" a="1"/>
  <c r="F101" i="1" a="1"/>
  <c r="F24" i="1" a="1"/>
  <c r="F20" i="1" a="1"/>
  <c r="F24" i="1" l="1"/>
  <c r="F101" i="1"/>
  <c r="F89" i="1"/>
  <c r="F77" i="1"/>
  <c r="F65" i="1"/>
  <c r="F53" i="1"/>
  <c r="F41" i="1"/>
  <c r="F33" i="1"/>
  <c r="F104" i="1"/>
  <c r="F92" i="1"/>
  <c r="F80" i="1"/>
  <c r="F76" i="1"/>
  <c r="F64" i="1"/>
  <c r="F56" i="1"/>
  <c r="F48" i="1"/>
  <c r="F40" i="1"/>
  <c r="F32" i="1"/>
  <c r="F103" i="1"/>
  <c r="F39" i="1"/>
  <c r="F97" i="1"/>
  <c r="F85" i="1"/>
  <c r="F73" i="1"/>
  <c r="F61" i="1"/>
  <c r="F45" i="1"/>
  <c r="F25" i="1"/>
  <c r="F96" i="1"/>
  <c r="F84" i="1"/>
  <c r="F72" i="1"/>
  <c r="F60" i="1"/>
  <c r="F52" i="1"/>
  <c r="F44" i="1"/>
  <c r="F36" i="1"/>
  <c r="F28" i="1"/>
  <c r="F99" i="1"/>
  <c r="F95" i="1"/>
  <c r="F91" i="1"/>
  <c r="F87" i="1"/>
  <c r="F83" i="1"/>
  <c r="F79" i="1"/>
  <c r="F75" i="1"/>
  <c r="F71" i="1"/>
  <c r="F67" i="1"/>
  <c r="F63" i="1"/>
  <c r="F59" i="1"/>
  <c r="F55" i="1"/>
  <c r="F51" i="1"/>
  <c r="F47" i="1"/>
  <c r="F43" i="1"/>
  <c r="F35" i="1"/>
  <c r="F31" i="1"/>
  <c r="F27" i="1"/>
  <c r="F23" i="1"/>
  <c r="F37" i="1"/>
  <c r="F105" i="1"/>
  <c r="F93" i="1"/>
  <c r="F81" i="1"/>
  <c r="F69" i="1"/>
  <c r="F57" i="1"/>
  <c r="F49" i="1"/>
  <c r="F29" i="1"/>
  <c r="F100" i="1"/>
  <c r="F88" i="1"/>
  <c r="F68" i="1"/>
  <c r="F102" i="1"/>
  <c r="F98" i="1"/>
  <c r="F94" i="1"/>
  <c r="F90" i="1"/>
  <c r="F86" i="1"/>
  <c r="F82" i="1"/>
  <c r="F78" i="1"/>
  <c r="F74" i="1"/>
  <c r="F70" i="1"/>
  <c r="F66" i="1"/>
  <c r="F62" i="1"/>
  <c r="F58" i="1"/>
  <c r="F54" i="1"/>
  <c r="F50" i="1"/>
  <c r="F46" i="1"/>
  <c r="F42" i="1"/>
  <c r="F38" i="1"/>
  <c r="F34" i="1"/>
  <c r="F30" i="1"/>
  <c r="F26" i="1"/>
  <c r="F22" i="1"/>
  <c r="F21" i="1"/>
  <c r="F2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<sst xmlns="http://schemas.openxmlformats.org/spreadsheetml/2006/main" count="223" uniqueCount="43">
  <si>
    <t>[표1]</t>
    <phoneticPr fontId="2" type="noConversion"/>
  </si>
  <si>
    <t>[단가표]</t>
    <phoneticPr fontId="2" type="noConversion"/>
  </si>
  <si>
    <t>품목</t>
    <phoneticPr fontId="2" type="noConversion"/>
  </si>
  <si>
    <t>가격</t>
    <phoneticPr fontId="2" type="noConversion"/>
  </si>
  <si>
    <t>[표2]</t>
    <phoneticPr fontId="2" type="noConversion"/>
  </si>
  <si>
    <t>[표3]</t>
    <phoneticPr fontId="2" type="noConversion"/>
  </si>
  <si>
    <t>이름</t>
  </si>
  <si>
    <t>성적</t>
  </si>
  <si>
    <t>[표4]</t>
    <phoneticPr fontId="2" type="noConversion"/>
  </si>
  <si>
    <t>분류</t>
    <phoneticPr fontId="2" type="noConversion"/>
  </si>
  <si>
    <t>[표5]</t>
    <phoneticPr fontId="2" type="noConversion"/>
  </si>
  <si>
    <t>유통</t>
  </si>
  <si>
    <t>의료</t>
  </si>
  <si>
    <t>미용</t>
  </si>
  <si>
    <t>교통</t>
    <phoneticPr fontId="2" type="noConversion"/>
  </si>
  <si>
    <t>문화</t>
  </si>
  <si>
    <t>교육</t>
  </si>
  <si>
    <t>가전</t>
  </si>
  <si>
    <t>[표6]</t>
    <phoneticPr fontId="2" type="noConversion"/>
  </si>
  <si>
    <t>교통</t>
  </si>
  <si>
    <t>가전</t>
    <phoneticPr fontId="2" type="noConversion"/>
  </si>
  <si>
    <t>배달비</t>
    <phoneticPr fontId="2" type="noConversion"/>
  </si>
  <si>
    <t>식탁</t>
    <phoneticPr fontId="2" type="noConversion"/>
  </si>
  <si>
    <t>의자</t>
    <phoneticPr fontId="2" type="noConversion"/>
  </si>
  <si>
    <t>모니터</t>
    <phoneticPr fontId="2" type="noConversion"/>
  </si>
  <si>
    <t>컴퓨터</t>
    <phoneticPr fontId="2" type="noConversion"/>
  </si>
  <si>
    <t>침대</t>
    <phoneticPr fontId="2" type="noConversion"/>
  </si>
  <si>
    <t>라레</t>
    <phoneticPr fontId="2" type="noConversion"/>
  </si>
  <si>
    <t>혜영</t>
    <phoneticPr fontId="2" type="noConversion"/>
  </si>
  <si>
    <t>김길동</t>
    <phoneticPr fontId="2" type="noConversion"/>
  </si>
  <si>
    <t>이아름</t>
    <phoneticPr fontId="2" type="noConversion"/>
  </si>
  <si>
    <t>나도야</t>
    <phoneticPr fontId="2" type="noConversion"/>
  </si>
  <si>
    <t>개수</t>
    <phoneticPr fontId="2" type="noConversion"/>
  </si>
  <si>
    <t>코드</t>
    <phoneticPr fontId="2" type="noConversion"/>
  </si>
  <si>
    <t>라레-01</t>
  </si>
  <si>
    <t>라레-02</t>
  </si>
  <si>
    <t>라레-03</t>
  </si>
  <si>
    <t>라레-04</t>
  </si>
  <si>
    <t>이용금액</t>
    <phoneticPr fontId="2" type="noConversion"/>
  </si>
  <si>
    <t>이용건수</t>
    <phoneticPr fontId="2" type="noConversion"/>
  </si>
  <si>
    <t>유통</t>
    <phoneticPr fontId="2" type="noConversion"/>
  </si>
  <si>
    <t>95점 이상인 첫번째 이름</t>
    <phoneticPr fontId="2" type="noConversion"/>
  </si>
  <si>
    <t>담당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</si>
</sst>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₩&quot;#,##0;\-&quot;₩&quot;#,##0"/>
    <numFmt numFmtId="41" formatCode="_-* #,##0_-;\-* #,##0_-;_-* &quot;-&quot;_-;_-@_-"/>
    <numFmt numFmtId="176" formatCode="#,##0&quot;대&quot;"/>
  </numFmts>
  <fonts count="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/>
  </cellStyleXfs>
  <cellXfs count="32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1" xfId="2" applyFont="1" applyBorder="1" applyAlignment="1">
      <alignment horizontal="center"/>
    </xf>
    <xf numFmtId="0" fontId="4" fillId="2" borderId="1" xfId="2" applyFont="1" applyFill="1" applyBorder="1" applyAlignment="1">
      <alignment horizontal="center"/>
    </xf>
    <xf numFmtId="0" fontId="4" fillId="0" borderId="0" xfId="2" applyFont="1" applyAlignment="1">
      <alignment horizontal="left"/>
    </xf>
    <xf numFmtId="176" fontId="4" fillId="0" borderId="1" xfId="2" applyNumberFormat="1" applyFont="1" applyBorder="1" applyAlignment="1">
      <alignment horizontal="center" wrapText="1"/>
    </xf>
    <xf numFmtId="0" fontId="4" fillId="0" borderId="1" xfId="2" applyFont="1" applyBorder="1" applyAlignment="1">
      <alignment horizontal="center" wrapText="1"/>
    </xf>
    <xf numFmtId="5" fontId="4" fillId="0" borderId="1" xfId="2" applyNumberFormat="1" applyFont="1" applyBorder="1" applyAlignment="1">
      <alignment horizontal="right" wrapText="1"/>
    </xf>
    <xf numFmtId="0" fontId="4" fillId="0" borderId="1" xfId="2" applyFont="1" applyBorder="1" applyAlignment="1">
      <alignment horizontal="right" wrapText="1"/>
    </xf>
    <xf numFmtId="176" fontId="4" fillId="2" borderId="1" xfId="2" applyNumberFormat="1" applyFont="1" applyFill="1" applyBorder="1" applyAlignment="1">
      <alignment horizontal="center" wrapText="1"/>
    </xf>
    <xf numFmtId="0" fontId="4" fillId="2" borderId="1" xfId="2" applyFont="1" applyFill="1" applyBorder="1" applyAlignment="1">
      <alignment horizontal="center" wrapText="1"/>
    </xf>
    <xf numFmtId="0" fontId="4" fillId="0" borderId="0" xfId="2" applyFont="1" applyAlignment="1">
      <alignment wrapText="1"/>
    </xf>
    <xf numFmtId="176" fontId="4" fillId="0" borderId="5" xfId="2" applyNumberFormat="1" applyFont="1" applyBorder="1" applyAlignment="1">
      <alignment wrapText="1"/>
    </xf>
    <xf numFmtId="0" fontId="4" fillId="0" borderId="5" xfId="2" applyFont="1" applyBorder="1" applyAlignment="1">
      <alignment wrapText="1"/>
    </xf>
    <xf numFmtId="5" fontId="4" fillId="0" borderId="5" xfId="2" applyNumberFormat="1" applyFont="1" applyBorder="1" applyAlignment="1">
      <alignment horizontal="right" wrapText="1"/>
    </xf>
    <xf numFmtId="0" fontId="4" fillId="0" borderId="5" xfId="2" applyFont="1" applyBorder="1" applyAlignment="1">
      <alignment horizontal="right" wrapText="1"/>
    </xf>
    <xf numFmtId="176" fontId="4" fillId="0" borderId="6" xfId="2" applyNumberFormat="1" applyFont="1" applyBorder="1" applyAlignment="1">
      <alignment wrapText="1"/>
    </xf>
    <xf numFmtId="0" fontId="4" fillId="0" borderId="6" xfId="2" applyFont="1" applyBorder="1" applyAlignment="1">
      <alignment wrapText="1"/>
    </xf>
    <xf numFmtId="5" fontId="4" fillId="0" borderId="6" xfId="2" applyNumberFormat="1" applyFont="1" applyBorder="1" applyAlignment="1">
      <alignment horizontal="right" wrapText="1"/>
    </xf>
    <xf numFmtId="0" fontId="4" fillId="0" borderId="6" xfId="2" applyFont="1" applyBorder="1" applyAlignment="1">
      <alignment horizontal="right" wrapText="1"/>
    </xf>
    <xf numFmtId="0" fontId="0" fillId="3" borderId="1" xfId="0" applyFill="1" applyBorder="1">
      <alignment vertical="center"/>
    </xf>
    <xf numFmtId="0" fontId="0" fillId="3" borderId="1" xfId="0" applyFill="1" applyBorder="1" applyAlignment="1">
      <alignment horizontal="right" vertical="center"/>
    </xf>
    <xf numFmtId="41" fontId="0" fillId="3" borderId="1" xfId="1" applyFont="1" applyFill="1" applyBorder="1">
      <alignment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_계산작업" xfId="2" xr:uid="{11F4F9A2-ABA4-4CDC-8CEB-27828574582C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3CA47-8683-489D-BC5E-E6659A77285D}">
  <sheetPr codeName="Sheet1"/>
  <dimension ref="B2:L332"/>
  <sheetViews>
    <sheetView tabSelected="1" topLeftCell="A8" workbookViewId="0">
      <selection activeCell="L15" sqref="L15"/>
    </sheetView>
  </sheetViews>
  <sheetFormatPr defaultRowHeight="16.5" x14ac:dyDescent="0.3"/>
  <cols>
    <col min="3" max="3" width="11.5" customWidth="1"/>
    <col min="4" max="5" width="13" bestFit="1" customWidth="1"/>
    <col min="6" max="6" width="11.625" bestFit="1" customWidth="1"/>
    <col min="8" max="8" width="11.375" customWidth="1"/>
  </cols>
  <sheetData>
    <row r="2" spans="2:8" x14ac:dyDescent="0.3">
      <c r="B2" t="s">
        <v>0</v>
      </c>
      <c r="G2" t="s">
        <v>1</v>
      </c>
    </row>
    <row r="3" spans="2:8" x14ac:dyDescent="0.3">
      <c r="B3" s="1" t="s">
        <v>2</v>
      </c>
      <c r="C3" s="1" t="s">
        <v>32</v>
      </c>
      <c r="D3" s="2" t="s">
        <v>21</v>
      </c>
      <c r="G3" s="1" t="s">
        <v>2</v>
      </c>
      <c r="H3" s="1" t="s">
        <v>3</v>
      </c>
    </row>
    <row r="4" spans="2:8" x14ac:dyDescent="0.3">
      <c r="B4" s="1" t="s">
        <v>22</v>
      </c>
      <c r="C4" s="1">
        <v>30</v>
      </c>
      <c r="D4" s="25" cm="1">
        <f t="array" ref="D4">_xlfn.IFS(_xlfn.XLOOKUP(B4,$G$4:$G$8,$H$4:$H$8)*C4&gt;=100000,"무료",_xlfn.XLOOKUP(B4,$G$4:$G$8,$H$4:$H$8)*C4&gt;=50000,3000,_xlfn.XLOOKUP(B4,$G$4:$G$8,$H$4:$H$8)*C4&gt;0,5000)</f>
        <v>3000</v>
      </c>
      <c r="G4" s="1" t="s">
        <v>22</v>
      </c>
      <c r="H4" s="3">
        <v>3000</v>
      </c>
    </row>
    <row r="5" spans="2:8" x14ac:dyDescent="0.3">
      <c r="B5" s="1" t="s">
        <v>23</v>
      </c>
      <c r="C5" s="1">
        <v>20</v>
      </c>
      <c r="D5" s="25" cm="1">
        <f t="array" ref="D5">_xlfn.IFS(_xlfn.XLOOKUP(B5,$G$4:$G$8,$H$4:$H$8)*C5&gt;=100000,"무료",_xlfn.XLOOKUP(B5,$G$4:$G$8,$H$4:$H$8)*C5&gt;=50000,3000,_xlfn.XLOOKUP(B5,$G$4:$G$8,$H$4:$H$8)*C5&gt;0,5000)</f>
        <v>5000</v>
      </c>
      <c r="G5" s="1" t="s">
        <v>23</v>
      </c>
      <c r="H5" s="3">
        <v>1500</v>
      </c>
    </row>
    <row r="6" spans="2:8" x14ac:dyDescent="0.3">
      <c r="B6" s="1" t="s">
        <v>24</v>
      </c>
      <c r="C6" s="1">
        <v>50</v>
      </c>
      <c r="D6" s="25" cm="1">
        <f t="array" ref="D6">_xlfn.IFS(_xlfn.XLOOKUP(B6,$G$4:$G$8,$H$4:$H$8)*C6&gt;=100000,"무료",_xlfn.XLOOKUP(B6,$G$4:$G$8,$H$4:$H$8)*C6&gt;=50000,3000,_xlfn.XLOOKUP(B6,$G$4:$G$8,$H$4:$H$8)*C6&gt;0,5000)</f>
        <v>3000</v>
      </c>
      <c r="G6" s="1" t="s">
        <v>24</v>
      </c>
      <c r="H6" s="3">
        <v>1000</v>
      </c>
    </row>
    <row r="7" spans="2:8" x14ac:dyDescent="0.3">
      <c r="B7" s="1" t="s">
        <v>25</v>
      </c>
      <c r="C7" s="1">
        <v>30</v>
      </c>
      <c r="D7" s="25" cm="1">
        <f t="array" ref="D7">_xlfn.IFS(_xlfn.XLOOKUP(B7,$G$4:$G$8,$H$4:$H$8)*C7&gt;=100000,"무료",_xlfn.XLOOKUP(B7,$G$4:$G$8,$H$4:$H$8)*C7&gt;=50000,3000,_xlfn.XLOOKUP(B7,$G$4:$G$8,$H$4:$H$8)*C7&gt;0,5000)</f>
        <v>3000</v>
      </c>
      <c r="G7" s="1" t="s">
        <v>25</v>
      </c>
      <c r="H7" s="3">
        <v>2500</v>
      </c>
    </row>
    <row r="8" spans="2:8" x14ac:dyDescent="0.3">
      <c r="B8" s="1" t="s">
        <v>26</v>
      </c>
      <c r="C8" s="1">
        <v>20</v>
      </c>
      <c r="D8" s="25" cm="1">
        <f t="array" ref="D8">_xlfn.IFS(_xlfn.XLOOKUP(B8,$G$4:$G$8,$H$4:$H$8)*C8&gt;=100000,"무료",_xlfn.XLOOKUP(B8,$G$4:$G$8,$H$4:$H$8)*C8&gt;=50000,3000,_xlfn.XLOOKUP(B8,$G$4:$G$8,$H$4:$H$8)*C8&gt;0,5000)</f>
        <v>5000</v>
      </c>
      <c r="G8" s="1" t="s">
        <v>26</v>
      </c>
      <c r="H8" s="3">
        <v>2000</v>
      </c>
    </row>
    <row r="10" spans="2:8" x14ac:dyDescent="0.3">
      <c r="B10" s="4" t="s">
        <v>4</v>
      </c>
      <c r="G10" s="4" t="s">
        <v>5</v>
      </c>
    </row>
    <row r="11" spans="2:8" x14ac:dyDescent="0.3">
      <c r="B11" s="26" t="s">
        <v>41</v>
      </c>
      <c r="C11" s="27"/>
      <c r="D11" s="28"/>
      <c r="G11" s="1" t="s">
        <v>6</v>
      </c>
      <c r="H11" s="1" t="s">
        <v>7</v>
      </c>
    </row>
    <row r="12" spans="2:8" x14ac:dyDescent="0.3">
      <c r="B12" s="29" t="str" cm="1">
        <f t="array" ref="B12">INDEX(G12:G16,_xlfn.XMATCH(95,H12:H16,1))</f>
        <v>라레</v>
      </c>
      <c r="C12" s="30"/>
      <c r="D12" s="31"/>
      <c r="G12" s="1" t="s">
        <v>29</v>
      </c>
      <c r="H12" s="1">
        <v>85</v>
      </c>
    </row>
    <row r="13" spans="2:8" x14ac:dyDescent="0.3">
      <c r="G13" s="1" t="s">
        <v>30</v>
      </c>
      <c r="H13" s="1">
        <v>92</v>
      </c>
    </row>
    <row r="14" spans="2:8" x14ac:dyDescent="0.3">
      <c r="G14" s="1" t="s">
        <v>27</v>
      </c>
      <c r="H14" s="1">
        <v>96</v>
      </c>
    </row>
    <row r="15" spans="2:8" x14ac:dyDescent="0.3">
      <c r="G15" s="1" t="s">
        <v>31</v>
      </c>
      <c r="H15" s="1">
        <v>98</v>
      </c>
    </row>
    <row r="16" spans="2:8" x14ac:dyDescent="0.3">
      <c r="G16" s="1" t="s">
        <v>28</v>
      </c>
      <c r="H16" s="1">
        <v>99</v>
      </c>
    </row>
    <row r="18" spans="2:12" x14ac:dyDescent="0.3">
      <c r="B18" t="s">
        <v>8</v>
      </c>
    </row>
    <row r="19" spans="2:12" x14ac:dyDescent="0.3">
      <c r="B19" s="5" t="s">
        <v>33</v>
      </c>
      <c r="C19" s="5" t="s">
        <v>9</v>
      </c>
      <c r="D19" s="5" t="s">
        <v>38</v>
      </c>
      <c r="E19" s="5" t="s">
        <v>39</v>
      </c>
      <c r="F19" s="6" t="s">
        <v>42</v>
      </c>
      <c r="H19" s="7" t="s">
        <v>10</v>
      </c>
    </row>
    <row r="20" spans="2:12" x14ac:dyDescent="0.3">
      <c r="B20" s="8" t="s">
        <v>34</v>
      </c>
      <c r="C20" s="9" t="s">
        <v>11</v>
      </c>
      <c r="D20" s="10">
        <v>52239618</v>
      </c>
      <c r="E20" s="11">
        <v>5</v>
      </c>
      <c r="F20" s="23" t="str" cm="1">
        <f t="array" ref="F20">fn담당(B20)</f>
        <v>보아라</v>
      </c>
      <c r="H20" s="1"/>
      <c r="I20" s="12" t="s">
        <v>34</v>
      </c>
      <c r="J20" s="12" t="s">
        <v>35</v>
      </c>
      <c r="K20" s="12" t="s">
        <v>36</v>
      </c>
      <c r="L20" s="12" t="s">
        <v>37</v>
      </c>
    </row>
    <row r="21" spans="2:12" x14ac:dyDescent="0.3">
      <c r="B21" s="8" t="s">
        <v>35</v>
      </c>
      <c r="C21" s="9" t="s">
        <v>12</v>
      </c>
      <c r="D21" s="10">
        <v>23551179</v>
      </c>
      <c r="E21" s="11">
        <v>86</v>
      </c>
      <c r="F21" s="23" t="str" cm="1">
        <f t="array" ref="F21">fn담당(B21)</f>
        <v>꽃내음</v>
      </c>
      <c r="H21" s="13" t="s">
        <v>11</v>
      </c>
      <c r="I21" s="24" t="str">
        <f t="array" ref="I21">TEXT(SUM(IF(($B$20:$B$105=I$20)*($C$20:$C$105=$H21),($D$20:$D$105) )),"#,##0,원")</f>
        <v>113,660원</v>
      </c>
      <c r="J21" s="24" t="str">
        <f t="array" ref="J21">TEXT(SUM(IF(($B$20:$B$105=J$20)*($C$20:$C$105=$H21),($D$20:$D$105) )),"#,##0,원")</f>
        <v>57,872원</v>
      </c>
      <c r="K21" s="24" t="str">
        <f t="array" ref="K21">TEXT(SUM(IF(($B$20:$B$105=K$20)*($C$20:$C$105=$H21),($D$20:$D$105) )),"#,##0,원")</f>
        <v>49,273원</v>
      </c>
      <c r="L21" s="24" t="str">
        <f t="array" ref="L21">TEXT(SUM(IF(($B$20:$B$105=L$20)*($C$20:$C$105=$H21),($D$20:$D$105) )),"#,##0,원")</f>
        <v>40,039원</v>
      </c>
    </row>
    <row r="22" spans="2:12" x14ac:dyDescent="0.3">
      <c r="B22" s="8" t="s">
        <v>36</v>
      </c>
      <c r="C22" s="9" t="s">
        <v>13</v>
      </c>
      <c r="D22" s="10">
        <v>19322795</v>
      </c>
      <c r="E22" s="11">
        <v>50</v>
      </c>
      <c r="F22" s="23" t="str" cm="1">
        <f t="array" ref="F22">fn담당(B22)</f>
        <v>무지개</v>
      </c>
      <c r="H22" s="13" t="s">
        <v>12</v>
      </c>
      <c r="I22" s="24" t="str">
        <f t="array" ref="I22">TEXT(SUM(IF(($B$20:$B$105=I$20)*($C$20:$C$105=$H22),($D$20:$D$105) )),"#,##0,원")</f>
        <v>6,958원</v>
      </c>
      <c r="J22" s="24" t="str">
        <f t="array" ref="J22">TEXT(SUM(IF(($B$20:$B$105=J$20)*($C$20:$C$105=$H22),($D$20:$D$105) )),"#,##0,원")</f>
        <v>32,632원</v>
      </c>
      <c r="K22" s="24" t="str">
        <f t="array" ref="K22">TEXT(SUM(IF(($B$20:$B$105=K$20)*($C$20:$C$105=$H22),($D$20:$D$105) )),"#,##0,원")</f>
        <v>5,191원</v>
      </c>
      <c r="L22" s="24" t="str">
        <f t="array" ref="L22">TEXT(SUM(IF(($B$20:$B$105=L$20)*($C$20:$C$105=$H22),($D$20:$D$105) )),"#,##0,원")</f>
        <v>4,849원</v>
      </c>
    </row>
    <row r="23" spans="2:12" x14ac:dyDescent="0.3">
      <c r="B23" s="8" t="s">
        <v>37</v>
      </c>
      <c r="C23" s="9" t="s">
        <v>11</v>
      </c>
      <c r="D23" s="10">
        <v>14875576</v>
      </c>
      <c r="E23" s="11">
        <v>5</v>
      </c>
      <c r="F23" s="23" t="str" cm="1">
        <f t="array" ref="F23">fn담당(B23)</f>
        <v>물보라</v>
      </c>
      <c r="H23" s="13" t="s">
        <v>13</v>
      </c>
      <c r="I23" s="24" t="str">
        <f t="array" ref="I23">TEXT(SUM(IF(($B$20:$B$105=I$20)*($C$20:$C$105=$H23),($D$20:$D$105) )),"#,##0,원")</f>
        <v>2,651원</v>
      </c>
      <c r="J23" s="24" t="str">
        <f t="array" ref="J23">TEXT(SUM(IF(($B$20:$B$105=J$20)*($C$20:$C$105=$H23),($D$20:$D$105) )),"#,##0,원")</f>
        <v>0원</v>
      </c>
      <c r="K23" s="24" t="str">
        <f t="array" ref="K23">TEXT(SUM(IF(($B$20:$B$105=K$20)*($C$20:$C$105=$H23),($D$20:$D$105) )),"#,##0,원")</f>
        <v>19,323원</v>
      </c>
      <c r="L23" s="24" t="str">
        <f t="array" ref="L23">TEXT(SUM(IF(($B$20:$B$105=L$20)*($C$20:$C$105=$H23),($D$20:$D$105) )),"#,##0,원")</f>
        <v>0원</v>
      </c>
    </row>
    <row r="24" spans="2:12" x14ac:dyDescent="0.3">
      <c r="B24" s="8" t="s">
        <v>34</v>
      </c>
      <c r="C24" s="9" t="s">
        <v>11</v>
      </c>
      <c r="D24" s="10">
        <v>12259820</v>
      </c>
      <c r="E24" s="11">
        <v>5</v>
      </c>
      <c r="F24" s="23" t="str" cm="1">
        <f t="array" ref="F24">fn담당(B24)</f>
        <v>보아라</v>
      </c>
      <c r="H24" s="13" t="s">
        <v>14</v>
      </c>
      <c r="I24" s="24" t="str">
        <f t="array" ref="I24">TEXT(SUM(IF(($B$20:$B$105=I$20)*($C$20:$C$105=$H24),($D$20:$D$105) )),"#,##0,원")</f>
        <v>0원</v>
      </c>
      <c r="J24" s="24" t="str">
        <f t="array" ref="J24">TEXT(SUM(IF(($B$20:$B$105=J$20)*($C$20:$C$105=$H24),($D$20:$D$105) )),"#,##0,원")</f>
        <v>0원</v>
      </c>
      <c r="K24" s="24" t="str">
        <f t="array" ref="K24">TEXT(SUM(IF(($B$20:$B$105=K$20)*($C$20:$C$105=$H24),($D$20:$D$105) )),"#,##0,원")</f>
        <v>15,435원</v>
      </c>
      <c r="L24" s="24" t="str">
        <f t="array" ref="L24">TEXT(SUM(IF(($B$20:$B$105=L$20)*($C$20:$C$105=$H24),($D$20:$D$105) )),"#,##0,원")</f>
        <v>22,441원</v>
      </c>
    </row>
    <row r="25" spans="2:12" x14ac:dyDescent="0.3">
      <c r="B25" s="8" t="s">
        <v>35</v>
      </c>
      <c r="C25" s="9" t="s">
        <v>11</v>
      </c>
      <c r="D25" s="10">
        <v>11974369</v>
      </c>
      <c r="E25" s="11">
        <v>10</v>
      </c>
      <c r="F25" s="23" t="str" cm="1">
        <f t="array" ref="F25">fn담당(B25)</f>
        <v>꽃내음</v>
      </c>
      <c r="H25" s="13" t="s">
        <v>15</v>
      </c>
      <c r="I25" s="24" t="str">
        <f t="array" ref="I25">TEXT(SUM(IF(($B$20:$B$105=I$20)*($C$20:$C$105=$H25),($D$20:$D$105) )),"#,##0,원")</f>
        <v>0원</v>
      </c>
      <c r="J25" s="24" t="str">
        <f t="array" ref="J25">TEXT(SUM(IF(($B$20:$B$105=J$20)*($C$20:$C$105=$H25),($D$20:$D$105) )),"#,##0,원")</f>
        <v>5,165원</v>
      </c>
      <c r="K25" s="24" t="str">
        <f t="array" ref="K25">TEXT(SUM(IF(($B$20:$B$105=K$20)*($C$20:$C$105=$H25),($D$20:$D$105) )),"#,##0,원")</f>
        <v>1,022원</v>
      </c>
      <c r="L25" s="24" t="str">
        <f t="array" ref="L25">TEXT(SUM(IF(($B$20:$B$105=L$20)*($C$20:$C$105=$H25),($D$20:$D$105) )),"#,##0,원")</f>
        <v>4,602원</v>
      </c>
    </row>
    <row r="26" spans="2:12" x14ac:dyDescent="0.3">
      <c r="B26" s="8" t="s">
        <v>36</v>
      </c>
      <c r="C26" s="9" t="s">
        <v>11</v>
      </c>
      <c r="D26" s="10">
        <v>11102382</v>
      </c>
      <c r="E26" s="11">
        <v>25</v>
      </c>
      <c r="F26" s="23" t="str" cm="1">
        <f t="array" ref="F26">fn담당(B26)</f>
        <v>무지개</v>
      </c>
      <c r="H26" s="13" t="s">
        <v>16</v>
      </c>
      <c r="I26" s="24" t="str">
        <f t="array" ref="I26">TEXT(SUM(IF(($B$20:$B$105=I$20)*($C$20:$C$105=$H26),($D$20:$D$105) )),"#,##0,원")</f>
        <v>6,707원</v>
      </c>
      <c r="J26" s="24" t="str">
        <f t="array" ref="J26">TEXT(SUM(IF(($B$20:$B$105=J$20)*($C$20:$C$105=$H26),($D$20:$D$105) )),"#,##0,원")</f>
        <v>0원</v>
      </c>
      <c r="K26" s="24" t="str">
        <f t="array" ref="K26">TEXT(SUM(IF(($B$20:$B$105=K$20)*($C$20:$C$105=$H26),($D$20:$D$105) )),"#,##0,원")</f>
        <v>0원</v>
      </c>
      <c r="L26" s="24" t="str">
        <f t="array" ref="L26">TEXT(SUM(IF(($B$20:$B$105=L$20)*($C$20:$C$105=$H26),($D$20:$D$105) )),"#,##0,원")</f>
        <v>0원</v>
      </c>
    </row>
    <row r="27" spans="2:12" x14ac:dyDescent="0.3">
      <c r="B27" s="8" t="s">
        <v>37</v>
      </c>
      <c r="C27" s="9" t="s">
        <v>14</v>
      </c>
      <c r="D27" s="10">
        <v>9764488</v>
      </c>
      <c r="E27" s="11">
        <v>15</v>
      </c>
      <c r="F27" s="23" t="str" cm="1">
        <f t="array" ref="F27">fn담당(B27)</f>
        <v>물보라</v>
      </c>
      <c r="H27" s="13" t="s">
        <v>17</v>
      </c>
      <c r="I27" s="24" t="str">
        <f t="array" ref="I27">TEXT(SUM(IF(($B$20:$B$105=I$20)*($C$20:$C$105=$H27),($D$20:$D$105) )),"#,##0,원")</f>
        <v>0원</v>
      </c>
      <c r="J27" s="24" t="str">
        <f t="array" ref="J27">TEXT(SUM(IF(($B$20:$B$105=J$20)*($C$20:$C$105=$H27),($D$20:$D$105) )),"#,##0,원")</f>
        <v>2,136원</v>
      </c>
      <c r="K27" s="24" t="str">
        <f t="array" ref="K27">TEXT(SUM(IF(($B$20:$B$105=K$20)*($C$20:$C$105=$H27),($D$20:$D$105) )),"#,##0,원")</f>
        <v>0원</v>
      </c>
      <c r="L27" s="24" t="str">
        <f t="array" ref="L27">TEXT(SUM(IF(($B$20:$B$105=L$20)*($C$20:$C$105=$H27),($D$20:$D$105) )),"#,##0,원")</f>
        <v>0원</v>
      </c>
    </row>
    <row r="28" spans="2:12" x14ac:dyDescent="0.3">
      <c r="B28" s="8" t="s">
        <v>34</v>
      </c>
      <c r="C28" s="9" t="s">
        <v>11</v>
      </c>
      <c r="D28" s="10">
        <v>8971156</v>
      </c>
      <c r="E28" s="11">
        <v>5</v>
      </c>
      <c r="F28" s="23" t="str" cm="1">
        <f t="array" ref="F28">fn담당(B28)</f>
        <v>보아라</v>
      </c>
    </row>
    <row r="29" spans="2:12" x14ac:dyDescent="0.3">
      <c r="B29" s="8" t="s">
        <v>35</v>
      </c>
      <c r="C29" s="9" t="s">
        <v>11</v>
      </c>
      <c r="D29" s="10">
        <v>8739877</v>
      </c>
      <c r="E29" s="11">
        <v>15</v>
      </c>
      <c r="F29" s="23" t="str" cm="1">
        <f t="array" ref="F29">fn담당(B29)</f>
        <v>꽃내음</v>
      </c>
      <c r="H29" s="14" t="s">
        <v>18</v>
      </c>
    </row>
    <row r="30" spans="2:12" x14ac:dyDescent="0.3">
      <c r="B30" s="8" t="s">
        <v>36</v>
      </c>
      <c r="C30" s="9" t="s">
        <v>19</v>
      </c>
      <c r="D30" s="10">
        <v>8722976</v>
      </c>
      <c r="E30" s="11">
        <v>50</v>
      </c>
      <c r="F30" s="23" t="str" cm="1">
        <f t="array" ref="F30">fn담당(B30)</f>
        <v>무지개</v>
      </c>
      <c r="H30" s="1"/>
      <c r="I30" s="13" t="s">
        <v>40</v>
      </c>
    </row>
    <row r="31" spans="2:12" x14ac:dyDescent="0.3">
      <c r="B31" s="8" t="s">
        <v>37</v>
      </c>
      <c r="C31" s="9" t="s">
        <v>11</v>
      </c>
      <c r="D31" s="10">
        <v>8489181</v>
      </c>
      <c r="E31" s="11">
        <v>5</v>
      </c>
      <c r="F31" s="23" t="str" cm="1">
        <f t="array" ref="F31">fn담당(B31)</f>
        <v>물보라</v>
      </c>
      <c r="H31" s="12" t="s">
        <v>34</v>
      </c>
      <c r="I31" s="23" t="str">
        <f t="array" ref="I31">REPT("◆",AVERAGE(IF(($B$20:$B$105=$H31)*($C$20:$C$105=$I$30), $E$20:$E$105))/10)</f>
        <v>◆◆</v>
      </c>
    </row>
    <row r="32" spans="2:12" x14ac:dyDescent="0.3">
      <c r="B32" s="8" t="s">
        <v>34</v>
      </c>
      <c r="C32" s="9" t="s">
        <v>11</v>
      </c>
      <c r="D32" s="10">
        <v>8126709</v>
      </c>
      <c r="E32" s="11">
        <v>40</v>
      </c>
      <c r="F32" s="23" t="str" cm="1">
        <f t="array" ref="F32">fn담당(B32)</f>
        <v>보아라</v>
      </c>
      <c r="H32" s="12" t="s">
        <v>35</v>
      </c>
      <c r="I32" s="23" t="str">
        <f t="array" ref="I32">REPT("◆",AVERAGE(IF(($B$20:$B$105=$H32)*($C$20:$C$105=$I$30), $E$20:$E$105))/10)</f>
        <v>◆◆</v>
      </c>
    </row>
    <row r="33" spans="2:9" x14ac:dyDescent="0.3">
      <c r="B33" s="8" t="s">
        <v>35</v>
      </c>
      <c r="C33" s="9" t="s">
        <v>11</v>
      </c>
      <c r="D33" s="10">
        <v>7442695</v>
      </c>
      <c r="E33" s="11">
        <v>5</v>
      </c>
      <c r="F33" s="23" t="str" cm="1">
        <f t="array" ref="F33">fn담당(B33)</f>
        <v>꽃내음</v>
      </c>
      <c r="H33" s="12" t="s">
        <v>36</v>
      </c>
      <c r="I33" s="23" t="str">
        <f t="array" ref="I33">REPT("◆",AVERAGE(IF(($B$20:$B$105=$H33)*($C$20:$C$105=$I$30), $E$20:$E$105))/10)</f>
        <v>◆◆◆◆</v>
      </c>
    </row>
    <row r="34" spans="2:9" x14ac:dyDescent="0.3">
      <c r="B34" s="8" t="s">
        <v>36</v>
      </c>
      <c r="C34" s="9" t="s">
        <v>11</v>
      </c>
      <c r="D34" s="10">
        <v>6698074</v>
      </c>
      <c r="E34" s="11">
        <v>30</v>
      </c>
      <c r="F34" s="23" t="str" cm="1">
        <f t="array" ref="F34">fn담당(B34)</f>
        <v>무지개</v>
      </c>
      <c r="H34" s="12" t="s">
        <v>37</v>
      </c>
      <c r="I34" s="23" t="str">
        <f t="array" ref="I34">REPT("◆",AVERAGE(IF(($B$20:$B$105=$H34)*($C$20:$C$105=$I$30), $E$20:$E$105))/10)</f>
        <v>◆◆</v>
      </c>
    </row>
    <row r="35" spans="2:9" x14ac:dyDescent="0.3">
      <c r="B35" s="8" t="s">
        <v>37</v>
      </c>
      <c r="C35" s="9" t="s">
        <v>19</v>
      </c>
      <c r="D35" s="10">
        <v>6686077</v>
      </c>
      <c r="E35" s="11">
        <v>15</v>
      </c>
      <c r="F35" s="23" t="str" cm="1">
        <f t="array" ref="F35">fn담당(B35)</f>
        <v>물보라</v>
      </c>
    </row>
    <row r="36" spans="2:9" x14ac:dyDescent="0.3">
      <c r="B36" s="8" t="s">
        <v>34</v>
      </c>
      <c r="C36" s="9" t="s">
        <v>11</v>
      </c>
      <c r="D36" s="10">
        <v>6270775</v>
      </c>
      <c r="E36" s="11">
        <v>5</v>
      </c>
      <c r="F36" s="23" t="str" cm="1">
        <f t="array" ref="F36">fn담당(B36)</f>
        <v>보아라</v>
      </c>
    </row>
    <row r="37" spans="2:9" x14ac:dyDescent="0.3">
      <c r="B37" s="8" t="s">
        <v>35</v>
      </c>
      <c r="C37" s="9" t="s">
        <v>11</v>
      </c>
      <c r="D37" s="10">
        <v>5494772</v>
      </c>
      <c r="E37" s="11">
        <v>5</v>
      </c>
      <c r="F37" s="23" t="str" cm="1">
        <f t="array" ref="F37">fn담당(B37)</f>
        <v>꽃내음</v>
      </c>
    </row>
    <row r="38" spans="2:9" x14ac:dyDescent="0.3">
      <c r="B38" s="8" t="s">
        <v>36</v>
      </c>
      <c r="C38" s="9" t="s">
        <v>11</v>
      </c>
      <c r="D38" s="10">
        <v>5441655</v>
      </c>
      <c r="E38" s="11">
        <v>5</v>
      </c>
      <c r="F38" s="23" t="str" cm="1">
        <f t="array" ref="F38">fn담당(B38)</f>
        <v>무지개</v>
      </c>
    </row>
    <row r="39" spans="2:9" x14ac:dyDescent="0.3">
      <c r="B39" s="8" t="s">
        <v>34</v>
      </c>
      <c r="C39" s="9" t="s">
        <v>11</v>
      </c>
      <c r="D39" s="10">
        <v>5242266</v>
      </c>
      <c r="E39" s="11">
        <v>10</v>
      </c>
      <c r="F39" s="23" t="str" cm="1">
        <f t="array" ref="F39">fn담당(B39)</f>
        <v>보아라</v>
      </c>
    </row>
    <row r="40" spans="2:9" x14ac:dyDescent="0.3">
      <c r="B40" s="8" t="s">
        <v>35</v>
      </c>
      <c r="C40" s="9" t="s">
        <v>11</v>
      </c>
      <c r="D40" s="10">
        <v>4825964</v>
      </c>
      <c r="E40" s="11">
        <v>5</v>
      </c>
      <c r="F40" s="23" t="str" cm="1">
        <f t="array" ref="F40">fn담당(B40)</f>
        <v>꽃내음</v>
      </c>
    </row>
    <row r="41" spans="2:9" x14ac:dyDescent="0.3">
      <c r="B41" s="8" t="s">
        <v>36</v>
      </c>
      <c r="C41" s="9" t="s">
        <v>19</v>
      </c>
      <c r="D41" s="10">
        <v>4644853</v>
      </c>
      <c r="E41" s="11">
        <v>5</v>
      </c>
      <c r="F41" s="23" t="str" cm="1">
        <f t="array" ref="F41">fn담당(B41)</f>
        <v>무지개</v>
      </c>
    </row>
    <row r="42" spans="2:9" x14ac:dyDescent="0.3">
      <c r="B42" s="8" t="s">
        <v>37</v>
      </c>
      <c r="C42" s="9" t="s">
        <v>15</v>
      </c>
      <c r="D42" s="10">
        <v>4601947</v>
      </c>
      <c r="E42" s="11">
        <v>15</v>
      </c>
      <c r="F42" s="23" t="str" cm="1">
        <f t="array" ref="F42">fn담당(B42)</f>
        <v>물보라</v>
      </c>
    </row>
    <row r="43" spans="2:9" x14ac:dyDescent="0.3">
      <c r="B43" s="8" t="s">
        <v>34</v>
      </c>
      <c r="C43" s="9" t="s">
        <v>16</v>
      </c>
      <c r="D43" s="10">
        <v>4395969</v>
      </c>
      <c r="E43" s="11">
        <v>75</v>
      </c>
      <c r="F43" s="23" t="str" cm="1">
        <f t="array" ref="F43">fn담당(B43)</f>
        <v>보아라</v>
      </c>
    </row>
    <row r="44" spans="2:9" x14ac:dyDescent="0.3">
      <c r="B44" s="8" t="s">
        <v>35</v>
      </c>
      <c r="C44" s="9" t="s">
        <v>12</v>
      </c>
      <c r="D44" s="10">
        <v>4305077</v>
      </c>
      <c r="E44" s="11">
        <v>5</v>
      </c>
      <c r="F44" s="23" t="str" cm="1">
        <f t="array" ref="F44">fn담당(B44)</f>
        <v>꽃내음</v>
      </c>
    </row>
    <row r="45" spans="2:9" x14ac:dyDescent="0.3">
      <c r="B45" s="8" t="s">
        <v>36</v>
      </c>
      <c r="C45" s="9" t="s">
        <v>11</v>
      </c>
      <c r="D45" s="10">
        <v>4250350</v>
      </c>
      <c r="E45" s="11">
        <v>15</v>
      </c>
      <c r="F45" s="23" t="str" cm="1">
        <f t="array" ref="F45">fn담당(B45)</f>
        <v>무지개</v>
      </c>
    </row>
    <row r="46" spans="2:9" x14ac:dyDescent="0.3">
      <c r="B46" s="8" t="s">
        <v>37</v>
      </c>
      <c r="C46" s="9" t="s">
        <v>11</v>
      </c>
      <c r="D46" s="10">
        <v>4091956</v>
      </c>
      <c r="E46" s="11">
        <v>5</v>
      </c>
      <c r="F46" s="23" t="str" cm="1">
        <f t="array" ref="F46">fn담당(B46)</f>
        <v>물보라</v>
      </c>
    </row>
    <row r="47" spans="2:9" x14ac:dyDescent="0.3">
      <c r="B47" s="8" t="s">
        <v>34</v>
      </c>
      <c r="C47" s="9" t="s">
        <v>12</v>
      </c>
      <c r="D47" s="10">
        <v>3916861</v>
      </c>
      <c r="E47" s="11">
        <v>10</v>
      </c>
      <c r="F47" s="23" t="str" cm="1">
        <f t="array" ref="F47">fn담당(B47)</f>
        <v>보아라</v>
      </c>
    </row>
    <row r="48" spans="2:9" x14ac:dyDescent="0.3">
      <c r="B48" s="8" t="s">
        <v>35</v>
      </c>
      <c r="C48" s="9" t="s">
        <v>11</v>
      </c>
      <c r="D48" s="10">
        <v>3907606</v>
      </c>
      <c r="E48" s="11">
        <v>10</v>
      </c>
      <c r="F48" s="23" t="str" cm="1">
        <f t="array" ref="F48">fn담당(B48)</f>
        <v>꽃내음</v>
      </c>
    </row>
    <row r="49" spans="2:6" x14ac:dyDescent="0.3">
      <c r="B49" s="8" t="s">
        <v>36</v>
      </c>
      <c r="C49" s="9" t="s">
        <v>11</v>
      </c>
      <c r="D49" s="10">
        <v>3873100</v>
      </c>
      <c r="E49" s="11">
        <v>5</v>
      </c>
      <c r="F49" s="23" t="str" cm="1">
        <f t="array" ref="F49">fn담당(B49)</f>
        <v>무지개</v>
      </c>
    </row>
    <row r="50" spans="2:6" x14ac:dyDescent="0.3">
      <c r="B50" s="8" t="s">
        <v>37</v>
      </c>
      <c r="C50" s="9" t="s">
        <v>19</v>
      </c>
      <c r="D50" s="10">
        <v>3860424</v>
      </c>
      <c r="E50" s="11">
        <v>10</v>
      </c>
      <c r="F50" s="23" t="str" cm="1">
        <f t="array" ref="F50">fn담당(B50)</f>
        <v>물보라</v>
      </c>
    </row>
    <row r="51" spans="2:6" x14ac:dyDescent="0.3">
      <c r="B51" s="8" t="s">
        <v>34</v>
      </c>
      <c r="C51" s="9" t="s">
        <v>11</v>
      </c>
      <c r="D51" s="10">
        <v>3845033</v>
      </c>
      <c r="E51" s="11">
        <v>5</v>
      </c>
      <c r="F51" s="23" t="str" cm="1">
        <f t="array" ref="F51">fn담당(B51)</f>
        <v>보아라</v>
      </c>
    </row>
    <row r="52" spans="2:6" x14ac:dyDescent="0.3">
      <c r="B52" s="8" t="s">
        <v>35</v>
      </c>
      <c r="C52" s="9" t="s">
        <v>11</v>
      </c>
      <c r="D52" s="10">
        <v>3679849</v>
      </c>
      <c r="E52" s="11">
        <v>5</v>
      </c>
      <c r="F52" s="23" t="str" cm="1">
        <f t="array" ref="F52">fn담당(B52)</f>
        <v>꽃내음</v>
      </c>
    </row>
    <row r="53" spans="2:6" x14ac:dyDescent="0.3">
      <c r="B53" s="8" t="s">
        <v>36</v>
      </c>
      <c r="C53" s="9" t="s">
        <v>12</v>
      </c>
      <c r="D53" s="10">
        <v>3592728</v>
      </c>
      <c r="E53" s="11">
        <v>25</v>
      </c>
      <c r="F53" s="23" t="str" cm="1">
        <f t="array" ref="F53">fn담당(B53)</f>
        <v>무지개</v>
      </c>
    </row>
    <row r="54" spans="2:6" x14ac:dyDescent="0.3">
      <c r="B54" s="8" t="s">
        <v>37</v>
      </c>
      <c r="C54" s="9" t="s">
        <v>11</v>
      </c>
      <c r="D54" s="10">
        <v>3194553</v>
      </c>
      <c r="E54" s="11">
        <v>166</v>
      </c>
      <c r="F54" s="23" t="str" cm="1">
        <f t="array" ref="F54">fn담당(B54)</f>
        <v>물보라</v>
      </c>
    </row>
    <row r="55" spans="2:6" x14ac:dyDescent="0.3">
      <c r="B55" s="8" t="s">
        <v>34</v>
      </c>
      <c r="C55" s="9" t="s">
        <v>11</v>
      </c>
      <c r="D55" s="10">
        <v>3082937</v>
      </c>
      <c r="E55" s="11">
        <v>131</v>
      </c>
      <c r="F55" s="23" t="str" cm="1">
        <f t="array" ref="F55">fn담당(B55)</f>
        <v>보아라</v>
      </c>
    </row>
    <row r="56" spans="2:6" x14ac:dyDescent="0.3">
      <c r="B56" s="8" t="s">
        <v>35</v>
      </c>
      <c r="C56" s="9" t="s">
        <v>11</v>
      </c>
      <c r="D56" s="10">
        <v>3018000</v>
      </c>
      <c r="E56" s="11">
        <v>131</v>
      </c>
      <c r="F56" s="23" t="str" cm="1">
        <f t="array" ref="F56">fn담당(B56)</f>
        <v>꽃내음</v>
      </c>
    </row>
    <row r="57" spans="2:6" x14ac:dyDescent="0.3">
      <c r="B57" s="8" t="s">
        <v>36</v>
      </c>
      <c r="C57" s="9" t="s">
        <v>11</v>
      </c>
      <c r="D57" s="10">
        <v>2987820</v>
      </c>
      <c r="E57" s="11">
        <v>171</v>
      </c>
      <c r="F57" s="23" t="str" cm="1">
        <f t="array" ref="F57">fn담당(B57)</f>
        <v>무지개</v>
      </c>
    </row>
    <row r="58" spans="2:6" x14ac:dyDescent="0.3">
      <c r="B58" s="8" t="s">
        <v>34</v>
      </c>
      <c r="C58" s="9" t="s">
        <v>11</v>
      </c>
      <c r="D58" s="10">
        <v>2918909</v>
      </c>
      <c r="E58" s="11">
        <v>10</v>
      </c>
      <c r="F58" s="23" t="str" cm="1">
        <f t="array" ref="F58">fn담당(B58)</f>
        <v>보아라</v>
      </c>
    </row>
    <row r="59" spans="2:6" x14ac:dyDescent="0.3">
      <c r="B59" s="8" t="s">
        <v>35</v>
      </c>
      <c r="C59" s="9" t="s">
        <v>15</v>
      </c>
      <c r="D59" s="10">
        <v>2631847</v>
      </c>
      <c r="E59" s="11">
        <v>15</v>
      </c>
      <c r="F59" s="23" t="str" cm="1">
        <f t="array" ref="F59">fn담당(B59)</f>
        <v>꽃내음</v>
      </c>
    </row>
    <row r="60" spans="2:6" x14ac:dyDescent="0.3">
      <c r="B60" s="8" t="s">
        <v>36</v>
      </c>
      <c r="C60" s="9" t="s">
        <v>11</v>
      </c>
      <c r="D60" s="10">
        <v>2616606</v>
      </c>
      <c r="E60" s="11">
        <v>25</v>
      </c>
      <c r="F60" s="23" t="str" cm="1">
        <f t="array" ref="F60">fn담당(B60)</f>
        <v>무지개</v>
      </c>
    </row>
    <row r="61" spans="2:6" x14ac:dyDescent="0.3">
      <c r="B61" s="8" t="s">
        <v>37</v>
      </c>
      <c r="C61" s="9" t="s">
        <v>12</v>
      </c>
      <c r="D61" s="10">
        <v>2586426</v>
      </c>
      <c r="E61" s="11">
        <v>15</v>
      </c>
      <c r="F61" s="23" t="str" cm="1">
        <f t="array" ref="F61">fn담당(B61)</f>
        <v>물보라</v>
      </c>
    </row>
    <row r="62" spans="2:6" x14ac:dyDescent="0.3">
      <c r="B62" s="8" t="s">
        <v>34</v>
      </c>
      <c r="C62" s="9" t="s">
        <v>11</v>
      </c>
      <c r="D62" s="10">
        <v>2455344</v>
      </c>
      <c r="E62" s="11">
        <v>5</v>
      </c>
      <c r="F62" s="23" t="str" cm="1">
        <f t="array" ref="F62">fn담당(B62)</f>
        <v>보아라</v>
      </c>
    </row>
    <row r="63" spans="2:6" x14ac:dyDescent="0.3">
      <c r="B63" s="8" t="s">
        <v>35</v>
      </c>
      <c r="C63" s="9" t="s">
        <v>12</v>
      </c>
      <c r="D63" s="10">
        <v>2452628</v>
      </c>
      <c r="E63" s="11">
        <v>10</v>
      </c>
      <c r="F63" s="23" t="str" cm="1">
        <f t="array" ref="F63">fn담당(B63)</f>
        <v>꽃내음</v>
      </c>
    </row>
    <row r="64" spans="2:6" x14ac:dyDescent="0.3">
      <c r="B64" s="8" t="s">
        <v>36</v>
      </c>
      <c r="C64" s="9" t="s">
        <v>11</v>
      </c>
      <c r="D64" s="10">
        <v>2373154</v>
      </c>
      <c r="E64" s="11">
        <v>5</v>
      </c>
      <c r="F64" s="23" t="str" cm="1">
        <f t="array" ref="F64">fn담당(B64)</f>
        <v>무지개</v>
      </c>
    </row>
    <row r="65" spans="2:6" x14ac:dyDescent="0.3">
      <c r="B65" s="8" t="s">
        <v>37</v>
      </c>
      <c r="C65" s="9" t="s">
        <v>11</v>
      </c>
      <c r="D65" s="10">
        <v>2341163</v>
      </c>
      <c r="E65" s="11">
        <v>25</v>
      </c>
      <c r="F65" s="23" t="str" cm="1">
        <f t="array" ref="F65">fn담당(B65)</f>
        <v>물보라</v>
      </c>
    </row>
    <row r="66" spans="2:6" x14ac:dyDescent="0.3">
      <c r="B66" s="8" t="s">
        <v>34</v>
      </c>
      <c r="C66" s="9" t="s">
        <v>16</v>
      </c>
      <c r="D66" s="10">
        <v>2310782</v>
      </c>
      <c r="E66" s="11">
        <v>5</v>
      </c>
      <c r="F66" s="23" t="str" cm="1">
        <f t="array" ref="F66">fn담당(B66)</f>
        <v>보아라</v>
      </c>
    </row>
    <row r="67" spans="2:6" x14ac:dyDescent="0.3">
      <c r="B67" s="8" t="s">
        <v>35</v>
      </c>
      <c r="C67" s="9" t="s">
        <v>11</v>
      </c>
      <c r="D67" s="10">
        <v>2185535</v>
      </c>
      <c r="E67" s="11">
        <v>45</v>
      </c>
      <c r="F67" s="23" t="str" cm="1">
        <f t="array" ref="F67">fn담당(B67)</f>
        <v>꽃내음</v>
      </c>
    </row>
    <row r="68" spans="2:6" x14ac:dyDescent="0.3">
      <c r="B68" s="8" t="s">
        <v>36</v>
      </c>
      <c r="C68" s="9" t="s">
        <v>11</v>
      </c>
      <c r="D68" s="10">
        <v>2184026</v>
      </c>
      <c r="E68" s="11">
        <v>15</v>
      </c>
      <c r="F68" s="23" t="str" cm="1">
        <f t="array" ref="F68">fn담당(B68)</f>
        <v>무지개</v>
      </c>
    </row>
    <row r="69" spans="2:6" x14ac:dyDescent="0.3">
      <c r="B69" s="8" t="s">
        <v>37</v>
      </c>
      <c r="C69" s="9" t="s">
        <v>19</v>
      </c>
      <c r="D69" s="10">
        <v>2129551</v>
      </c>
      <c r="E69" s="11">
        <v>246</v>
      </c>
      <c r="F69" s="23" t="str" cm="1">
        <f t="array" ref="F69">fn담당(B69)</f>
        <v>물보라</v>
      </c>
    </row>
    <row r="70" spans="2:6" x14ac:dyDescent="0.3">
      <c r="B70" s="8" t="s">
        <v>34</v>
      </c>
      <c r="C70" s="9" t="s">
        <v>11</v>
      </c>
      <c r="D70" s="10">
        <v>2069845</v>
      </c>
      <c r="E70" s="11">
        <v>35</v>
      </c>
      <c r="F70" s="23" t="str" cm="1">
        <f t="array" ref="F70">fn담당(B70)</f>
        <v>보아라</v>
      </c>
    </row>
    <row r="71" spans="2:6" x14ac:dyDescent="0.3">
      <c r="B71" s="8" t="s">
        <v>35</v>
      </c>
      <c r="C71" s="9" t="s">
        <v>11</v>
      </c>
      <c r="D71" s="10">
        <v>2068789</v>
      </c>
      <c r="E71" s="11">
        <v>20</v>
      </c>
      <c r="F71" s="23" t="str" cm="1">
        <f t="array" ref="F71">fn담당(B71)</f>
        <v>꽃내음</v>
      </c>
    </row>
    <row r="72" spans="2:6" x14ac:dyDescent="0.3">
      <c r="B72" s="8" t="s">
        <v>36</v>
      </c>
      <c r="C72" s="9" t="s">
        <v>19</v>
      </c>
      <c r="D72" s="10">
        <v>2067582</v>
      </c>
      <c r="E72" s="11">
        <v>10</v>
      </c>
      <c r="F72" s="23" t="str" cm="1">
        <f t="array" ref="F72">fn담당(B72)</f>
        <v>무지개</v>
      </c>
    </row>
    <row r="73" spans="2:6" x14ac:dyDescent="0.3">
      <c r="B73" s="8" t="s">
        <v>37</v>
      </c>
      <c r="C73" s="9" t="s">
        <v>11</v>
      </c>
      <c r="D73" s="10">
        <v>2003348</v>
      </c>
      <c r="E73" s="11">
        <v>10</v>
      </c>
      <c r="F73" s="23" t="str" cm="1">
        <f t="array" ref="F73">fn담당(B73)</f>
        <v>물보라</v>
      </c>
    </row>
    <row r="74" spans="2:6" x14ac:dyDescent="0.3">
      <c r="B74" s="8" t="s">
        <v>34</v>
      </c>
      <c r="C74" s="9" t="s">
        <v>12</v>
      </c>
      <c r="D74" s="10">
        <v>1981166</v>
      </c>
      <c r="E74" s="11">
        <v>80</v>
      </c>
      <c r="F74" s="23" t="str" cm="1">
        <f t="array" ref="F74">fn담당(B74)</f>
        <v>보아라</v>
      </c>
    </row>
    <row r="75" spans="2:6" x14ac:dyDescent="0.3">
      <c r="B75" s="8" t="s">
        <v>35</v>
      </c>
      <c r="C75" s="9" t="s">
        <v>11</v>
      </c>
      <c r="D75" s="10">
        <v>1886904</v>
      </c>
      <c r="E75" s="11">
        <v>15</v>
      </c>
      <c r="F75" s="23" t="str" cm="1">
        <f t="array" ref="F75">fn담당(B75)</f>
        <v>꽃내음</v>
      </c>
    </row>
    <row r="76" spans="2:6" x14ac:dyDescent="0.3">
      <c r="B76" s="8" t="s">
        <v>36</v>
      </c>
      <c r="C76" s="9" t="s">
        <v>11</v>
      </c>
      <c r="D76" s="10">
        <v>1868695</v>
      </c>
      <c r="E76" s="11">
        <v>10</v>
      </c>
      <c r="F76" s="23" t="str" cm="1">
        <f t="array" ref="F76">fn담당(B76)</f>
        <v>무지개</v>
      </c>
    </row>
    <row r="77" spans="2:6" x14ac:dyDescent="0.3">
      <c r="B77" s="8" t="s">
        <v>34</v>
      </c>
      <c r="C77" s="9" t="s">
        <v>11</v>
      </c>
      <c r="D77" s="10">
        <v>1712212</v>
      </c>
      <c r="E77" s="11">
        <v>10</v>
      </c>
      <c r="F77" s="23" t="str" cm="1">
        <f t="array" ref="F77">fn담당(B77)</f>
        <v>보아라</v>
      </c>
    </row>
    <row r="78" spans="2:6" x14ac:dyDescent="0.3">
      <c r="B78" s="8" t="s">
        <v>35</v>
      </c>
      <c r="C78" s="9" t="s">
        <v>11</v>
      </c>
      <c r="D78" s="10">
        <v>1648985</v>
      </c>
      <c r="E78" s="11">
        <v>10</v>
      </c>
      <c r="F78" s="23" t="str" cm="1">
        <f t="array" ref="F78">fn담당(B78)</f>
        <v>꽃내음</v>
      </c>
    </row>
    <row r="79" spans="2:6" x14ac:dyDescent="0.3">
      <c r="B79" s="8" t="s">
        <v>36</v>
      </c>
      <c r="C79" s="9" t="s">
        <v>12</v>
      </c>
      <c r="D79" s="10">
        <v>1597930</v>
      </c>
      <c r="E79" s="11">
        <v>55</v>
      </c>
      <c r="F79" s="23" t="str" cm="1">
        <f t="array" ref="F79">fn담당(B79)</f>
        <v>무지개</v>
      </c>
    </row>
    <row r="80" spans="2:6" x14ac:dyDescent="0.3">
      <c r="B80" s="8" t="s">
        <v>37</v>
      </c>
      <c r="C80" s="9" t="s">
        <v>11</v>
      </c>
      <c r="D80" s="10">
        <v>1518859</v>
      </c>
      <c r="E80" s="11">
        <v>5</v>
      </c>
      <c r="F80" s="23" t="str" cm="1">
        <f t="array" ref="F80">fn담당(B80)</f>
        <v>물보라</v>
      </c>
    </row>
    <row r="81" spans="2:6" x14ac:dyDescent="0.3">
      <c r="B81" s="8" t="s">
        <v>34</v>
      </c>
      <c r="C81" s="9" t="s">
        <v>13</v>
      </c>
      <c r="D81" s="10">
        <v>1511515</v>
      </c>
      <c r="E81" s="11">
        <v>141</v>
      </c>
      <c r="F81" s="23" t="str" cm="1">
        <f t="array" ref="F81">fn담당(B81)</f>
        <v>보아라</v>
      </c>
    </row>
    <row r="82" spans="2:6" x14ac:dyDescent="0.3">
      <c r="B82" s="8" t="s">
        <v>35</v>
      </c>
      <c r="C82" s="9" t="s">
        <v>15</v>
      </c>
      <c r="D82" s="10">
        <v>1422484</v>
      </c>
      <c r="E82" s="11">
        <v>10</v>
      </c>
      <c r="F82" s="23" t="str" cm="1">
        <f t="array" ref="F82">fn담당(B82)</f>
        <v>꽃내음</v>
      </c>
    </row>
    <row r="83" spans="2:6" x14ac:dyDescent="0.3">
      <c r="B83" s="8" t="s">
        <v>36</v>
      </c>
      <c r="C83" s="9" t="s">
        <v>11</v>
      </c>
      <c r="D83" s="10">
        <v>1405382</v>
      </c>
      <c r="E83" s="11">
        <v>171</v>
      </c>
      <c r="F83" s="23" t="str" cm="1">
        <f t="array" ref="F83">fn담당(B83)</f>
        <v>무지개</v>
      </c>
    </row>
    <row r="84" spans="2:6" x14ac:dyDescent="0.3">
      <c r="B84" s="8" t="s">
        <v>37</v>
      </c>
      <c r="C84" s="9" t="s">
        <v>11</v>
      </c>
      <c r="D84" s="10">
        <v>1402022</v>
      </c>
      <c r="E84" s="11">
        <v>10</v>
      </c>
      <c r="F84" s="23" t="str" cm="1">
        <f t="array" ref="F84">fn담당(B84)</f>
        <v>물보라</v>
      </c>
    </row>
    <row r="85" spans="2:6" x14ac:dyDescent="0.3">
      <c r="B85" s="8" t="s">
        <v>34</v>
      </c>
      <c r="C85" s="9" t="s">
        <v>11</v>
      </c>
      <c r="D85" s="10">
        <v>1296734</v>
      </c>
      <c r="E85" s="11">
        <v>20</v>
      </c>
      <c r="F85" s="23" t="str" cm="1">
        <f t="array" ref="F85">fn담당(B85)</f>
        <v>보아라</v>
      </c>
    </row>
    <row r="86" spans="2:6" x14ac:dyDescent="0.3">
      <c r="B86" s="8" t="s">
        <v>35</v>
      </c>
      <c r="C86" s="9" t="s">
        <v>12</v>
      </c>
      <c r="D86" s="10">
        <v>1266806</v>
      </c>
      <c r="E86" s="11">
        <v>30</v>
      </c>
      <c r="F86" s="23" t="str" cm="1">
        <f t="array" ref="F86">fn담당(B86)</f>
        <v>꽃내음</v>
      </c>
    </row>
    <row r="87" spans="2:6" x14ac:dyDescent="0.3">
      <c r="B87" s="8" t="s">
        <v>36</v>
      </c>
      <c r="C87" s="9" t="s">
        <v>11</v>
      </c>
      <c r="D87" s="10">
        <v>1258506</v>
      </c>
      <c r="E87" s="11">
        <v>5</v>
      </c>
      <c r="F87" s="23" t="str" cm="1">
        <f t="array" ref="F87">fn담당(B87)</f>
        <v>무지개</v>
      </c>
    </row>
    <row r="88" spans="2:6" x14ac:dyDescent="0.3">
      <c r="B88" s="8" t="s">
        <v>37</v>
      </c>
      <c r="C88" s="9" t="s">
        <v>12</v>
      </c>
      <c r="D88" s="10">
        <v>1241404</v>
      </c>
      <c r="E88" s="11">
        <v>10</v>
      </c>
      <c r="F88" s="23" t="str" cm="1">
        <f t="array" ref="F88">fn담당(B88)</f>
        <v>물보라</v>
      </c>
    </row>
    <row r="89" spans="2:6" x14ac:dyDescent="0.3">
      <c r="B89" s="8" t="s">
        <v>34</v>
      </c>
      <c r="C89" s="9" t="s">
        <v>11</v>
      </c>
      <c r="D89" s="10">
        <v>1207703</v>
      </c>
      <c r="E89" s="11">
        <v>15</v>
      </c>
      <c r="F89" s="23" t="str" cm="1">
        <f t="array" ref="F89">fn담당(B89)</f>
        <v>보아라</v>
      </c>
    </row>
    <row r="90" spans="2:6" x14ac:dyDescent="0.3">
      <c r="B90" s="8" t="s">
        <v>35</v>
      </c>
      <c r="C90" s="9" t="s">
        <v>17</v>
      </c>
      <c r="D90" s="10">
        <v>1183056</v>
      </c>
      <c r="E90" s="11">
        <v>96</v>
      </c>
      <c r="F90" s="23" t="str" cm="1">
        <f t="array" ref="F90">fn담당(B90)</f>
        <v>꽃내음</v>
      </c>
    </row>
    <row r="91" spans="2:6" x14ac:dyDescent="0.3">
      <c r="B91" s="8" t="s">
        <v>36</v>
      </c>
      <c r="C91" s="9" t="s">
        <v>11</v>
      </c>
      <c r="D91" s="10">
        <v>1174304</v>
      </c>
      <c r="E91" s="11">
        <v>15</v>
      </c>
      <c r="F91" s="23" t="str" cm="1">
        <f t="array" ref="F91">fn담당(B91)</f>
        <v>무지개</v>
      </c>
    </row>
    <row r="92" spans="2:6" x14ac:dyDescent="0.3">
      <c r="B92" s="8" t="s">
        <v>37</v>
      </c>
      <c r="C92" s="9" t="s">
        <v>11</v>
      </c>
      <c r="D92" s="10">
        <v>1156900</v>
      </c>
      <c r="E92" s="11">
        <v>35</v>
      </c>
      <c r="F92" s="23" t="str" cm="1">
        <f t="array" ref="F92">fn담당(B92)</f>
        <v>물보라</v>
      </c>
    </row>
    <row r="93" spans="2:6" x14ac:dyDescent="0.3">
      <c r="B93" s="8" t="s">
        <v>34</v>
      </c>
      <c r="C93" s="9" t="s">
        <v>13</v>
      </c>
      <c r="D93" s="10">
        <v>1139798</v>
      </c>
      <c r="E93" s="11">
        <v>10</v>
      </c>
      <c r="F93" s="23" t="str" cm="1">
        <f t="array" ref="F93">fn담당(B93)</f>
        <v>보아라</v>
      </c>
    </row>
    <row r="94" spans="2:6" x14ac:dyDescent="0.3">
      <c r="B94" s="8" t="s">
        <v>35</v>
      </c>
      <c r="C94" s="9" t="s">
        <v>15</v>
      </c>
      <c r="D94" s="10">
        <v>1110619</v>
      </c>
      <c r="E94" s="11">
        <v>5</v>
      </c>
      <c r="F94" s="23" t="str" cm="1">
        <f t="array" ref="F94">fn담당(B94)</f>
        <v>꽃내음</v>
      </c>
    </row>
    <row r="95" spans="2:6" x14ac:dyDescent="0.3">
      <c r="B95" s="8" t="s">
        <v>36</v>
      </c>
      <c r="C95" s="9" t="s">
        <v>11</v>
      </c>
      <c r="D95" s="10">
        <v>1069629</v>
      </c>
      <c r="E95" s="11">
        <v>5</v>
      </c>
      <c r="F95" s="23" t="str" cm="1">
        <f t="array" ref="F95">fn담당(B95)</f>
        <v>무지개</v>
      </c>
    </row>
    <row r="96" spans="2:6" x14ac:dyDescent="0.3">
      <c r="B96" s="8" t="s">
        <v>34</v>
      </c>
      <c r="C96" s="9" t="s">
        <v>12</v>
      </c>
      <c r="D96" s="10">
        <v>1059570</v>
      </c>
      <c r="E96" s="11">
        <v>15</v>
      </c>
      <c r="F96" s="23" t="str" cm="1">
        <f t="array" ref="F96">fn담당(B96)</f>
        <v>보아라</v>
      </c>
    </row>
    <row r="97" spans="2:6" x14ac:dyDescent="0.3">
      <c r="B97" s="8" t="s">
        <v>35</v>
      </c>
      <c r="C97" s="9" t="s">
        <v>12</v>
      </c>
      <c r="D97" s="10">
        <v>1056300</v>
      </c>
      <c r="E97" s="11">
        <v>15</v>
      </c>
      <c r="F97" s="23" t="str" cm="1">
        <f t="array" ref="F97">fn담당(B97)</f>
        <v>꽃내음</v>
      </c>
    </row>
    <row r="98" spans="2:6" x14ac:dyDescent="0.3">
      <c r="B98" s="8" t="s">
        <v>36</v>
      </c>
      <c r="C98" s="9" t="s">
        <v>15</v>
      </c>
      <c r="D98" s="10">
        <v>1021694</v>
      </c>
      <c r="E98" s="11">
        <v>40</v>
      </c>
      <c r="F98" s="23" t="str" cm="1">
        <f t="array" ref="F98">fn담당(B98)</f>
        <v>무지개</v>
      </c>
    </row>
    <row r="99" spans="2:6" x14ac:dyDescent="0.3">
      <c r="B99" s="8" t="s">
        <v>37</v>
      </c>
      <c r="C99" s="9" t="s">
        <v>12</v>
      </c>
      <c r="D99" s="10">
        <v>1021090</v>
      </c>
      <c r="E99" s="11">
        <v>5</v>
      </c>
      <c r="F99" s="23" t="str" cm="1">
        <f t="array" ref="F99">fn담당(B99)</f>
        <v>물보라</v>
      </c>
    </row>
    <row r="100" spans="2:6" x14ac:dyDescent="0.3">
      <c r="B100" s="8" t="s">
        <v>34</v>
      </c>
      <c r="C100" s="9" t="s">
        <v>11</v>
      </c>
      <c r="D100" s="10">
        <v>1000668</v>
      </c>
      <c r="E100" s="11">
        <v>25</v>
      </c>
      <c r="F100" s="23" t="str" cm="1">
        <f t="array" ref="F100">fn담당(B100)</f>
        <v>보아라</v>
      </c>
    </row>
    <row r="101" spans="2:6" x14ac:dyDescent="0.3">
      <c r="B101" s="8" t="s">
        <v>35</v>
      </c>
      <c r="C101" s="9" t="s">
        <v>11</v>
      </c>
      <c r="D101" s="10">
        <v>998455</v>
      </c>
      <c r="E101" s="11">
        <v>10</v>
      </c>
      <c r="F101" s="23" t="str" cm="1">
        <f t="array" ref="F101">fn담당(B101)</f>
        <v>꽃내음</v>
      </c>
    </row>
    <row r="102" spans="2:6" x14ac:dyDescent="0.3">
      <c r="B102" s="8" t="s">
        <v>36</v>
      </c>
      <c r="C102" s="9" t="s">
        <v>11</v>
      </c>
      <c r="D102" s="10">
        <v>969331</v>
      </c>
      <c r="E102" s="11">
        <v>181</v>
      </c>
      <c r="F102" s="23" t="str" cm="1">
        <f t="array" ref="F102">fn담당(B102)</f>
        <v>무지개</v>
      </c>
    </row>
    <row r="103" spans="2:6" x14ac:dyDescent="0.3">
      <c r="B103" s="8" t="s">
        <v>37</v>
      </c>
      <c r="C103" s="9" t="s">
        <v>11</v>
      </c>
      <c r="D103" s="10">
        <v>965760</v>
      </c>
      <c r="E103" s="11">
        <v>25</v>
      </c>
      <c r="F103" s="23" t="str" cm="1">
        <f t="array" ref="F103">fn담당(B103)</f>
        <v>물보라</v>
      </c>
    </row>
    <row r="104" spans="2:6" x14ac:dyDescent="0.3">
      <c r="B104" s="8" t="s">
        <v>34</v>
      </c>
      <c r="C104" s="9" t="s">
        <v>11</v>
      </c>
      <c r="D104" s="10">
        <v>960730</v>
      </c>
      <c r="E104" s="11">
        <v>101</v>
      </c>
      <c r="F104" s="23" t="str" cm="1">
        <f t="array" ref="F104">fn담당(B104)</f>
        <v>보아라</v>
      </c>
    </row>
    <row r="105" spans="2:6" x14ac:dyDescent="0.3">
      <c r="B105" s="8" t="s">
        <v>35</v>
      </c>
      <c r="C105" s="9" t="s">
        <v>20</v>
      </c>
      <c r="D105" s="10">
        <v>952682</v>
      </c>
      <c r="E105" s="11">
        <v>60</v>
      </c>
      <c r="F105" s="23" t="str" cm="1">
        <f t="array" ref="F105">fn담당(B105)</f>
        <v>꽃내음</v>
      </c>
    </row>
    <row r="106" spans="2:6" x14ac:dyDescent="0.3">
      <c r="B106" s="15"/>
      <c r="C106" s="16"/>
      <c r="D106" s="17"/>
      <c r="E106" s="18"/>
    </row>
    <row r="107" spans="2:6" x14ac:dyDescent="0.3">
      <c r="B107" s="19"/>
      <c r="C107" s="20"/>
      <c r="D107" s="21"/>
      <c r="E107" s="22"/>
    </row>
    <row r="108" spans="2:6" x14ac:dyDescent="0.3">
      <c r="B108" s="19"/>
      <c r="C108" s="20"/>
      <c r="D108" s="21"/>
      <c r="E108" s="22"/>
    </row>
    <row r="109" spans="2:6" x14ac:dyDescent="0.3">
      <c r="B109" s="19"/>
      <c r="C109" s="20"/>
      <c r="D109" s="21"/>
      <c r="E109" s="22"/>
    </row>
    <row r="110" spans="2:6" x14ac:dyDescent="0.3">
      <c r="B110" s="19"/>
      <c r="C110" s="20"/>
      <c r="D110" s="21"/>
      <c r="E110" s="22"/>
    </row>
    <row r="111" spans="2:6" x14ac:dyDescent="0.3">
      <c r="B111" s="19"/>
      <c r="C111" s="20"/>
      <c r="D111" s="21"/>
      <c r="E111" s="22"/>
    </row>
    <row r="112" spans="2:6" x14ac:dyDescent="0.3">
      <c r="B112" s="19"/>
      <c r="C112" s="20"/>
      <c r="D112" s="21"/>
      <c r="E112" s="22"/>
    </row>
    <row r="113" spans="2:5" x14ac:dyDescent="0.3">
      <c r="B113" s="19"/>
      <c r="C113" s="20"/>
      <c r="D113" s="21"/>
      <c r="E113" s="22"/>
    </row>
    <row r="114" spans="2:5" x14ac:dyDescent="0.3">
      <c r="B114" s="19"/>
      <c r="C114" s="20"/>
      <c r="D114" s="21"/>
      <c r="E114" s="22"/>
    </row>
    <row r="115" spans="2:5" x14ac:dyDescent="0.3">
      <c r="B115" s="19"/>
      <c r="C115" s="20"/>
      <c r="D115" s="21"/>
      <c r="E115" s="22"/>
    </row>
    <row r="116" spans="2:5" x14ac:dyDescent="0.3">
      <c r="B116" s="19"/>
      <c r="C116" s="20"/>
      <c r="D116" s="21"/>
      <c r="E116" s="22"/>
    </row>
    <row r="117" spans="2:5" x14ac:dyDescent="0.3">
      <c r="B117" s="19"/>
      <c r="C117" s="20"/>
      <c r="D117" s="21"/>
      <c r="E117" s="22"/>
    </row>
    <row r="118" spans="2:5" x14ac:dyDescent="0.3">
      <c r="B118" s="19"/>
      <c r="C118" s="20"/>
      <c r="D118" s="21"/>
      <c r="E118" s="22"/>
    </row>
    <row r="119" spans="2:5" x14ac:dyDescent="0.3">
      <c r="B119" s="19"/>
      <c r="C119" s="20"/>
      <c r="D119" s="21"/>
      <c r="E119" s="22"/>
    </row>
    <row r="120" spans="2:5" x14ac:dyDescent="0.3">
      <c r="B120" s="19"/>
      <c r="C120" s="20"/>
      <c r="D120" s="21"/>
      <c r="E120" s="22"/>
    </row>
    <row r="121" spans="2:5" x14ac:dyDescent="0.3">
      <c r="B121" s="19"/>
      <c r="C121" s="20"/>
      <c r="D121" s="21"/>
      <c r="E121" s="22"/>
    </row>
    <row r="122" spans="2:5" x14ac:dyDescent="0.3">
      <c r="B122" s="19"/>
      <c r="C122" s="20"/>
      <c r="D122" s="21"/>
      <c r="E122" s="22"/>
    </row>
    <row r="123" spans="2:5" x14ac:dyDescent="0.3">
      <c r="B123" s="19"/>
      <c r="C123" s="20"/>
      <c r="D123" s="21"/>
      <c r="E123" s="22"/>
    </row>
    <row r="124" spans="2:5" x14ac:dyDescent="0.3">
      <c r="B124" s="19"/>
      <c r="C124" s="20"/>
      <c r="D124" s="21"/>
      <c r="E124" s="22"/>
    </row>
    <row r="125" spans="2:5" x14ac:dyDescent="0.3">
      <c r="B125" s="19"/>
      <c r="C125" s="20"/>
      <c r="D125" s="21"/>
      <c r="E125" s="22"/>
    </row>
    <row r="126" spans="2:5" x14ac:dyDescent="0.3">
      <c r="B126" s="19"/>
      <c r="C126" s="20"/>
      <c r="D126" s="21"/>
      <c r="E126" s="22"/>
    </row>
    <row r="127" spans="2:5" x14ac:dyDescent="0.3">
      <c r="B127" s="19"/>
      <c r="C127" s="20"/>
      <c r="D127" s="21"/>
      <c r="E127" s="22"/>
    </row>
    <row r="128" spans="2:5" x14ac:dyDescent="0.3">
      <c r="B128" s="19"/>
      <c r="C128" s="20"/>
      <c r="D128" s="21"/>
      <c r="E128" s="22"/>
    </row>
    <row r="129" spans="2:5" x14ac:dyDescent="0.3">
      <c r="B129" s="19"/>
      <c r="C129" s="20"/>
      <c r="D129" s="21"/>
      <c r="E129" s="22"/>
    </row>
    <row r="130" spans="2:5" x14ac:dyDescent="0.3">
      <c r="B130" s="19"/>
      <c r="C130" s="20"/>
      <c r="D130" s="21"/>
      <c r="E130" s="22"/>
    </row>
    <row r="131" spans="2:5" x14ac:dyDescent="0.3">
      <c r="B131" s="19"/>
      <c r="C131" s="20"/>
      <c r="D131" s="21"/>
      <c r="E131" s="22"/>
    </row>
    <row r="132" spans="2:5" x14ac:dyDescent="0.3">
      <c r="B132" s="19"/>
      <c r="C132" s="20"/>
      <c r="D132" s="21"/>
      <c r="E132" s="22"/>
    </row>
    <row r="133" spans="2:5" x14ac:dyDescent="0.3">
      <c r="B133" s="19"/>
      <c r="C133" s="20"/>
      <c r="D133" s="21"/>
      <c r="E133" s="22"/>
    </row>
    <row r="134" spans="2:5" x14ac:dyDescent="0.3">
      <c r="B134" s="19"/>
      <c r="C134" s="20"/>
      <c r="D134" s="21"/>
      <c r="E134" s="22"/>
    </row>
    <row r="135" spans="2:5" x14ac:dyDescent="0.3">
      <c r="B135" s="19"/>
      <c r="C135" s="20"/>
      <c r="D135" s="21"/>
      <c r="E135" s="22"/>
    </row>
    <row r="136" spans="2:5" x14ac:dyDescent="0.3">
      <c r="B136" s="19"/>
      <c r="C136" s="20"/>
      <c r="D136" s="21"/>
      <c r="E136" s="22"/>
    </row>
    <row r="137" spans="2:5" x14ac:dyDescent="0.3">
      <c r="B137" s="19"/>
      <c r="C137" s="20"/>
      <c r="D137" s="21"/>
      <c r="E137" s="22"/>
    </row>
    <row r="138" spans="2:5" x14ac:dyDescent="0.3">
      <c r="B138" s="19"/>
      <c r="C138" s="20"/>
      <c r="D138" s="21"/>
      <c r="E138" s="22"/>
    </row>
    <row r="139" spans="2:5" x14ac:dyDescent="0.3">
      <c r="B139" s="19"/>
      <c r="C139" s="20"/>
      <c r="D139" s="21"/>
      <c r="E139" s="22"/>
    </row>
    <row r="140" spans="2:5" x14ac:dyDescent="0.3">
      <c r="B140" s="19"/>
      <c r="C140" s="20"/>
      <c r="D140" s="21"/>
      <c r="E140" s="22"/>
    </row>
    <row r="141" spans="2:5" x14ac:dyDescent="0.3">
      <c r="B141" s="19"/>
      <c r="C141" s="20"/>
      <c r="D141" s="21"/>
      <c r="E141" s="22"/>
    </row>
    <row r="142" spans="2:5" x14ac:dyDescent="0.3">
      <c r="B142" s="19"/>
      <c r="C142" s="20"/>
      <c r="D142" s="21"/>
      <c r="E142" s="22"/>
    </row>
    <row r="143" spans="2:5" x14ac:dyDescent="0.3">
      <c r="B143" s="19"/>
      <c r="C143" s="20"/>
      <c r="D143" s="21"/>
      <c r="E143" s="22"/>
    </row>
    <row r="144" spans="2:5" x14ac:dyDescent="0.3">
      <c r="B144" s="19"/>
      <c r="C144" s="20"/>
      <c r="D144" s="21"/>
      <c r="E144" s="22"/>
    </row>
    <row r="145" spans="2:5" x14ac:dyDescent="0.3">
      <c r="B145" s="19"/>
      <c r="C145" s="20"/>
      <c r="D145" s="21"/>
      <c r="E145" s="22"/>
    </row>
    <row r="146" spans="2:5" x14ac:dyDescent="0.3">
      <c r="B146" s="19"/>
      <c r="C146" s="20"/>
      <c r="D146" s="21"/>
      <c r="E146" s="22"/>
    </row>
    <row r="147" spans="2:5" x14ac:dyDescent="0.3">
      <c r="B147" s="19"/>
      <c r="C147" s="20"/>
      <c r="D147" s="21"/>
      <c r="E147" s="22"/>
    </row>
    <row r="148" spans="2:5" x14ac:dyDescent="0.3">
      <c r="B148" s="19"/>
      <c r="C148" s="20"/>
      <c r="D148" s="21"/>
      <c r="E148" s="22"/>
    </row>
    <row r="149" spans="2:5" x14ac:dyDescent="0.3">
      <c r="B149" s="19"/>
      <c r="C149" s="20"/>
      <c r="D149" s="21"/>
      <c r="E149" s="22"/>
    </row>
    <row r="150" spans="2:5" x14ac:dyDescent="0.3">
      <c r="B150" s="19"/>
      <c r="C150" s="20"/>
      <c r="D150" s="21"/>
      <c r="E150" s="22"/>
    </row>
    <row r="151" spans="2:5" x14ac:dyDescent="0.3">
      <c r="B151" s="19"/>
      <c r="C151" s="20"/>
      <c r="D151" s="21"/>
      <c r="E151" s="22"/>
    </row>
    <row r="152" spans="2:5" x14ac:dyDescent="0.3">
      <c r="B152" s="19"/>
      <c r="C152" s="20"/>
      <c r="D152" s="21"/>
      <c r="E152" s="22"/>
    </row>
    <row r="153" spans="2:5" x14ac:dyDescent="0.3">
      <c r="B153" s="19"/>
      <c r="C153" s="20"/>
      <c r="D153" s="21"/>
      <c r="E153" s="22"/>
    </row>
    <row r="154" spans="2:5" x14ac:dyDescent="0.3">
      <c r="B154" s="19"/>
      <c r="C154" s="20"/>
      <c r="D154" s="21"/>
      <c r="E154" s="22"/>
    </row>
    <row r="155" spans="2:5" x14ac:dyDescent="0.3">
      <c r="B155" s="19"/>
      <c r="C155" s="20"/>
      <c r="D155" s="21"/>
      <c r="E155" s="22"/>
    </row>
    <row r="156" spans="2:5" x14ac:dyDescent="0.3">
      <c r="B156" s="19"/>
      <c r="C156" s="20"/>
      <c r="D156" s="21"/>
      <c r="E156" s="22"/>
    </row>
    <row r="157" spans="2:5" x14ac:dyDescent="0.3">
      <c r="B157" s="19"/>
      <c r="C157" s="20"/>
      <c r="D157" s="21"/>
      <c r="E157" s="22"/>
    </row>
    <row r="158" spans="2:5" x14ac:dyDescent="0.3">
      <c r="B158" s="19"/>
      <c r="C158" s="20"/>
      <c r="D158" s="21"/>
      <c r="E158" s="22"/>
    </row>
    <row r="159" spans="2:5" x14ac:dyDescent="0.3">
      <c r="B159" s="19"/>
      <c r="C159" s="20"/>
      <c r="D159" s="21"/>
      <c r="E159" s="22"/>
    </row>
    <row r="160" spans="2:5" x14ac:dyDescent="0.3">
      <c r="B160" s="19"/>
      <c r="C160" s="20"/>
      <c r="D160" s="21"/>
      <c r="E160" s="22"/>
    </row>
    <row r="161" spans="2:5" x14ac:dyDescent="0.3">
      <c r="B161" s="19"/>
      <c r="C161" s="20"/>
      <c r="D161" s="21"/>
      <c r="E161" s="22"/>
    </row>
    <row r="162" spans="2:5" x14ac:dyDescent="0.3">
      <c r="B162" s="19"/>
      <c r="C162" s="20"/>
      <c r="D162" s="21"/>
      <c r="E162" s="22"/>
    </row>
    <row r="163" spans="2:5" x14ac:dyDescent="0.3">
      <c r="B163" s="19"/>
      <c r="C163" s="20"/>
      <c r="D163" s="21"/>
      <c r="E163" s="22"/>
    </row>
    <row r="164" spans="2:5" x14ac:dyDescent="0.3">
      <c r="B164" s="19"/>
      <c r="C164" s="20"/>
      <c r="D164" s="21"/>
      <c r="E164" s="22"/>
    </row>
    <row r="165" spans="2:5" x14ac:dyDescent="0.3">
      <c r="B165" s="19"/>
      <c r="C165" s="20"/>
      <c r="D165" s="21"/>
      <c r="E165" s="22"/>
    </row>
    <row r="166" spans="2:5" x14ac:dyDescent="0.3">
      <c r="B166" s="19"/>
      <c r="C166" s="20"/>
      <c r="D166" s="21"/>
      <c r="E166" s="22"/>
    </row>
    <row r="167" spans="2:5" x14ac:dyDescent="0.3">
      <c r="B167" s="19"/>
      <c r="C167" s="20"/>
      <c r="D167" s="21"/>
      <c r="E167" s="22"/>
    </row>
    <row r="168" spans="2:5" x14ac:dyDescent="0.3">
      <c r="B168" s="19"/>
      <c r="C168" s="20"/>
      <c r="D168" s="21"/>
      <c r="E168" s="22"/>
    </row>
    <row r="169" spans="2:5" x14ac:dyDescent="0.3">
      <c r="B169" s="19"/>
      <c r="C169" s="20"/>
      <c r="D169" s="21"/>
      <c r="E169" s="22"/>
    </row>
    <row r="170" spans="2:5" x14ac:dyDescent="0.3">
      <c r="B170" s="19"/>
      <c r="C170" s="20"/>
      <c r="D170" s="21"/>
      <c r="E170" s="22"/>
    </row>
    <row r="171" spans="2:5" x14ac:dyDescent="0.3">
      <c r="B171" s="19"/>
      <c r="C171" s="20"/>
      <c r="D171" s="21"/>
      <c r="E171" s="22"/>
    </row>
    <row r="172" spans="2:5" x14ac:dyDescent="0.3">
      <c r="B172" s="19"/>
      <c r="C172" s="20"/>
      <c r="D172" s="21"/>
      <c r="E172" s="22"/>
    </row>
    <row r="173" spans="2:5" x14ac:dyDescent="0.3">
      <c r="B173" s="19"/>
      <c r="C173" s="20"/>
      <c r="D173" s="21"/>
      <c r="E173" s="22"/>
    </row>
    <row r="174" spans="2:5" x14ac:dyDescent="0.3">
      <c r="B174" s="19"/>
      <c r="C174" s="20"/>
      <c r="D174" s="21"/>
      <c r="E174" s="22"/>
    </row>
    <row r="175" spans="2:5" x14ac:dyDescent="0.3">
      <c r="B175" s="19"/>
      <c r="C175" s="20"/>
      <c r="D175" s="21"/>
      <c r="E175" s="22"/>
    </row>
    <row r="176" spans="2:5" x14ac:dyDescent="0.3">
      <c r="B176" s="19"/>
      <c r="C176" s="20"/>
      <c r="D176" s="21"/>
      <c r="E176" s="22"/>
    </row>
    <row r="177" spans="2:5" x14ac:dyDescent="0.3">
      <c r="B177" s="19"/>
      <c r="C177" s="20"/>
      <c r="D177" s="21"/>
      <c r="E177" s="22"/>
    </row>
    <row r="178" spans="2:5" x14ac:dyDescent="0.3">
      <c r="B178" s="19"/>
      <c r="C178" s="20"/>
      <c r="D178" s="21"/>
      <c r="E178" s="22"/>
    </row>
    <row r="179" spans="2:5" x14ac:dyDescent="0.3">
      <c r="B179" s="19"/>
      <c r="C179" s="20"/>
      <c r="D179" s="21"/>
      <c r="E179" s="22"/>
    </row>
    <row r="180" spans="2:5" x14ac:dyDescent="0.3">
      <c r="B180" s="19"/>
      <c r="C180" s="20"/>
      <c r="D180" s="21"/>
      <c r="E180" s="22"/>
    </row>
    <row r="181" spans="2:5" x14ac:dyDescent="0.3">
      <c r="B181" s="19"/>
      <c r="C181" s="20"/>
      <c r="D181" s="21"/>
      <c r="E181" s="22"/>
    </row>
    <row r="182" spans="2:5" x14ac:dyDescent="0.3">
      <c r="B182" s="19"/>
      <c r="C182" s="20"/>
      <c r="D182" s="21"/>
      <c r="E182" s="22"/>
    </row>
    <row r="183" spans="2:5" x14ac:dyDescent="0.3">
      <c r="B183" s="19"/>
      <c r="C183" s="20"/>
      <c r="D183" s="21"/>
      <c r="E183" s="22"/>
    </row>
    <row r="184" spans="2:5" x14ac:dyDescent="0.3">
      <c r="B184" s="19"/>
      <c r="C184" s="20"/>
      <c r="D184" s="21"/>
      <c r="E184" s="22"/>
    </row>
    <row r="185" spans="2:5" x14ac:dyDescent="0.3">
      <c r="B185" s="19"/>
      <c r="C185" s="20"/>
      <c r="D185" s="21"/>
      <c r="E185" s="22"/>
    </row>
    <row r="186" spans="2:5" x14ac:dyDescent="0.3">
      <c r="B186" s="19"/>
      <c r="C186" s="20"/>
      <c r="D186" s="21"/>
      <c r="E186" s="22"/>
    </row>
    <row r="187" spans="2:5" x14ac:dyDescent="0.3">
      <c r="B187" s="19"/>
      <c r="C187" s="20"/>
      <c r="D187" s="21"/>
      <c r="E187" s="22"/>
    </row>
    <row r="188" spans="2:5" x14ac:dyDescent="0.3">
      <c r="B188" s="19"/>
      <c r="C188" s="20"/>
      <c r="D188" s="21"/>
      <c r="E188" s="22"/>
    </row>
    <row r="189" spans="2:5" x14ac:dyDescent="0.3">
      <c r="B189" s="19"/>
      <c r="C189" s="20"/>
      <c r="D189" s="21"/>
      <c r="E189" s="22"/>
    </row>
    <row r="190" spans="2:5" x14ac:dyDescent="0.3">
      <c r="B190" s="19"/>
      <c r="C190" s="20"/>
      <c r="D190" s="21"/>
      <c r="E190" s="22"/>
    </row>
    <row r="191" spans="2:5" x14ac:dyDescent="0.3">
      <c r="B191" s="19"/>
      <c r="C191" s="20"/>
      <c r="D191" s="21"/>
      <c r="E191" s="22"/>
    </row>
    <row r="192" spans="2:5" x14ac:dyDescent="0.3">
      <c r="B192" s="19"/>
      <c r="C192" s="20"/>
      <c r="D192" s="21"/>
      <c r="E192" s="22"/>
    </row>
    <row r="193" spans="2:5" x14ac:dyDescent="0.3">
      <c r="B193" s="19"/>
      <c r="C193" s="20"/>
      <c r="D193" s="21"/>
      <c r="E193" s="22"/>
    </row>
    <row r="194" spans="2:5" x14ac:dyDescent="0.3">
      <c r="B194" s="19"/>
      <c r="C194" s="20"/>
      <c r="D194" s="21"/>
      <c r="E194" s="22"/>
    </row>
    <row r="195" spans="2:5" x14ac:dyDescent="0.3">
      <c r="B195" s="19"/>
      <c r="C195" s="20"/>
      <c r="D195" s="21"/>
      <c r="E195" s="22"/>
    </row>
    <row r="196" spans="2:5" x14ac:dyDescent="0.3">
      <c r="B196" s="19"/>
      <c r="C196" s="20"/>
      <c r="D196" s="21"/>
      <c r="E196" s="22"/>
    </row>
    <row r="197" spans="2:5" x14ac:dyDescent="0.3">
      <c r="B197" s="19"/>
      <c r="C197" s="20"/>
      <c r="D197" s="21"/>
      <c r="E197" s="22"/>
    </row>
    <row r="198" spans="2:5" x14ac:dyDescent="0.3">
      <c r="B198" s="19"/>
      <c r="C198" s="20"/>
      <c r="D198" s="21"/>
      <c r="E198" s="22"/>
    </row>
    <row r="199" spans="2:5" x14ac:dyDescent="0.3">
      <c r="B199" s="19"/>
      <c r="C199" s="20"/>
      <c r="D199" s="21"/>
      <c r="E199" s="22"/>
    </row>
    <row r="200" spans="2:5" x14ac:dyDescent="0.3">
      <c r="B200" s="19"/>
      <c r="C200" s="20"/>
      <c r="D200" s="21"/>
      <c r="E200" s="22"/>
    </row>
    <row r="201" spans="2:5" x14ac:dyDescent="0.3">
      <c r="B201" s="19"/>
      <c r="C201" s="20"/>
      <c r="D201" s="21"/>
      <c r="E201" s="22"/>
    </row>
    <row r="202" spans="2:5" x14ac:dyDescent="0.3">
      <c r="B202" s="19"/>
      <c r="C202" s="20"/>
      <c r="D202" s="21"/>
      <c r="E202" s="22"/>
    </row>
    <row r="203" spans="2:5" x14ac:dyDescent="0.3">
      <c r="B203" s="19"/>
      <c r="C203" s="20"/>
      <c r="D203" s="21"/>
      <c r="E203" s="22"/>
    </row>
    <row r="204" spans="2:5" x14ac:dyDescent="0.3">
      <c r="B204" s="19"/>
      <c r="C204" s="20"/>
      <c r="D204" s="21"/>
      <c r="E204" s="22"/>
    </row>
    <row r="205" spans="2:5" x14ac:dyDescent="0.3">
      <c r="B205" s="19"/>
      <c r="C205" s="20"/>
      <c r="D205" s="21"/>
      <c r="E205" s="22"/>
    </row>
    <row r="206" spans="2:5" x14ac:dyDescent="0.3">
      <c r="B206" s="19"/>
      <c r="C206" s="20"/>
      <c r="D206" s="21"/>
      <c r="E206" s="22"/>
    </row>
    <row r="207" spans="2:5" x14ac:dyDescent="0.3">
      <c r="B207" s="19"/>
      <c r="C207" s="20"/>
      <c r="D207" s="21"/>
      <c r="E207" s="22"/>
    </row>
    <row r="208" spans="2:5" x14ac:dyDescent="0.3">
      <c r="B208" s="19"/>
      <c r="C208" s="20"/>
      <c r="D208" s="21"/>
      <c r="E208" s="22"/>
    </row>
    <row r="209" spans="2:5" x14ac:dyDescent="0.3">
      <c r="B209" s="19"/>
      <c r="C209" s="20"/>
      <c r="D209" s="21"/>
      <c r="E209" s="22"/>
    </row>
    <row r="210" spans="2:5" x14ac:dyDescent="0.3">
      <c r="B210" s="19"/>
      <c r="C210" s="20"/>
      <c r="D210" s="21"/>
      <c r="E210" s="22"/>
    </row>
    <row r="211" spans="2:5" x14ac:dyDescent="0.3">
      <c r="B211" s="19"/>
      <c r="C211" s="20"/>
      <c r="D211" s="21"/>
      <c r="E211" s="22"/>
    </row>
    <row r="212" spans="2:5" x14ac:dyDescent="0.3">
      <c r="B212" s="19"/>
      <c r="C212" s="20"/>
      <c r="D212" s="21"/>
      <c r="E212" s="22"/>
    </row>
    <row r="213" spans="2:5" x14ac:dyDescent="0.3">
      <c r="B213" s="19"/>
      <c r="C213" s="20"/>
      <c r="D213" s="21"/>
      <c r="E213" s="22"/>
    </row>
    <row r="214" spans="2:5" x14ac:dyDescent="0.3">
      <c r="B214" s="19"/>
      <c r="C214" s="20"/>
      <c r="D214" s="21"/>
      <c r="E214" s="22"/>
    </row>
    <row r="215" spans="2:5" x14ac:dyDescent="0.3">
      <c r="B215" s="19"/>
      <c r="C215" s="20"/>
      <c r="D215" s="21"/>
      <c r="E215" s="22"/>
    </row>
    <row r="216" spans="2:5" x14ac:dyDescent="0.3">
      <c r="B216" s="19"/>
      <c r="C216" s="20"/>
      <c r="D216" s="21"/>
      <c r="E216" s="22"/>
    </row>
    <row r="217" spans="2:5" x14ac:dyDescent="0.3">
      <c r="B217" s="19"/>
      <c r="C217" s="20"/>
      <c r="D217" s="21"/>
      <c r="E217" s="22"/>
    </row>
    <row r="218" spans="2:5" x14ac:dyDescent="0.3">
      <c r="B218" s="19"/>
      <c r="C218" s="20"/>
      <c r="D218" s="21"/>
      <c r="E218" s="22"/>
    </row>
    <row r="219" spans="2:5" x14ac:dyDescent="0.3">
      <c r="B219" s="19"/>
      <c r="C219" s="20"/>
      <c r="D219" s="21"/>
      <c r="E219" s="22"/>
    </row>
    <row r="220" spans="2:5" x14ac:dyDescent="0.3">
      <c r="B220" s="19"/>
      <c r="C220" s="20"/>
      <c r="D220" s="21"/>
      <c r="E220" s="22"/>
    </row>
    <row r="221" spans="2:5" x14ac:dyDescent="0.3">
      <c r="B221" s="19"/>
      <c r="C221" s="20"/>
      <c r="D221" s="21"/>
      <c r="E221" s="22"/>
    </row>
    <row r="222" spans="2:5" x14ac:dyDescent="0.3">
      <c r="B222" s="19"/>
      <c r="C222" s="20"/>
      <c r="D222" s="21"/>
      <c r="E222" s="22"/>
    </row>
    <row r="223" spans="2:5" x14ac:dyDescent="0.3">
      <c r="B223" s="19"/>
      <c r="C223" s="20"/>
      <c r="D223" s="21"/>
      <c r="E223" s="22"/>
    </row>
    <row r="224" spans="2:5" x14ac:dyDescent="0.3">
      <c r="B224" s="19"/>
      <c r="C224" s="20"/>
      <c r="D224" s="21"/>
      <c r="E224" s="22"/>
    </row>
    <row r="225" spans="2:5" x14ac:dyDescent="0.3">
      <c r="B225" s="19"/>
      <c r="C225" s="20"/>
      <c r="D225" s="21"/>
      <c r="E225" s="22"/>
    </row>
    <row r="226" spans="2:5" x14ac:dyDescent="0.3">
      <c r="B226" s="19"/>
      <c r="C226" s="20"/>
      <c r="D226" s="21"/>
      <c r="E226" s="22"/>
    </row>
    <row r="227" spans="2:5" x14ac:dyDescent="0.3">
      <c r="B227" s="19"/>
      <c r="C227" s="20"/>
      <c r="D227" s="21"/>
      <c r="E227" s="22"/>
    </row>
    <row r="228" spans="2:5" x14ac:dyDescent="0.3">
      <c r="B228" s="19"/>
      <c r="C228" s="20"/>
      <c r="D228" s="21"/>
      <c r="E228" s="22"/>
    </row>
    <row r="229" spans="2:5" x14ac:dyDescent="0.3">
      <c r="B229" s="19"/>
      <c r="C229" s="20"/>
      <c r="D229" s="21"/>
      <c r="E229" s="22"/>
    </row>
    <row r="230" spans="2:5" x14ac:dyDescent="0.3">
      <c r="B230" s="19"/>
      <c r="C230" s="20"/>
      <c r="D230" s="21"/>
      <c r="E230" s="22"/>
    </row>
    <row r="231" spans="2:5" x14ac:dyDescent="0.3">
      <c r="B231" s="19"/>
      <c r="C231" s="20"/>
      <c r="D231" s="21"/>
      <c r="E231" s="22"/>
    </row>
    <row r="232" spans="2:5" x14ac:dyDescent="0.3">
      <c r="B232" s="19"/>
      <c r="C232" s="20"/>
      <c r="D232" s="21"/>
      <c r="E232" s="22"/>
    </row>
    <row r="233" spans="2:5" x14ac:dyDescent="0.3">
      <c r="B233" s="19"/>
      <c r="C233" s="20"/>
      <c r="D233" s="21"/>
      <c r="E233" s="22"/>
    </row>
    <row r="234" spans="2:5" x14ac:dyDescent="0.3">
      <c r="B234" s="19"/>
      <c r="C234" s="20"/>
      <c r="D234" s="21"/>
      <c r="E234" s="22"/>
    </row>
    <row r="235" spans="2:5" x14ac:dyDescent="0.3">
      <c r="B235" s="19"/>
      <c r="C235" s="20"/>
      <c r="D235" s="21"/>
      <c r="E235" s="22"/>
    </row>
    <row r="236" spans="2:5" x14ac:dyDescent="0.3">
      <c r="B236" s="19"/>
      <c r="C236" s="20"/>
      <c r="D236" s="21"/>
      <c r="E236" s="22"/>
    </row>
    <row r="237" spans="2:5" x14ac:dyDescent="0.3">
      <c r="B237" s="19"/>
      <c r="C237" s="20"/>
      <c r="D237" s="21"/>
      <c r="E237" s="22"/>
    </row>
    <row r="238" spans="2:5" x14ac:dyDescent="0.3">
      <c r="B238" s="19"/>
      <c r="C238" s="20"/>
      <c r="D238" s="21"/>
      <c r="E238" s="22"/>
    </row>
    <row r="239" spans="2:5" x14ac:dyDescent="0.3">
      <c r="B239" s="19"/>
      <c r="C239" s="20"/>
      <c r="D239" s="21"/>
      <c r="E239" s="22"/>
    </row>
    <row r="240" spans="2:5" x14ac:dyDescent="0.3">
      <c r="B240" s="19"/>
      <c r="C240" s="20"/>
      <c r="D240" s="21"/>
      <c r="E240" s="22"/>
    </row>
    <row r="241" spans="2:5" x14ac:dyDescent="0.3">
      <c r="B241" s="19"/>
      <c r="C241" s="20"/>
      <c r="D241" s="21"/>
      <c r="E241" s="22"/>
    </row>
    <row r="242" spans="2:5" x14ac:dyDescent="0.3">
      <c r="B242" s="19"/>
      <c r="C242" s="20"/>
      <c r="D242" s="21"/>
      <c r="E242" s="22"/>
    </row>
    <row r="243" spans="2:5" x14ac:dyDescent="0.3">
      <c r="B243" s="19"/>
      <c r="C243" s="20"/>
      <c r="D243" s="21"/>
      <c r="E243" s="22"/>
    </row>
    <row r="244" spans="2:5" x14ac:dyDescent="0.3">
      <c r="B244" s="19"/>
      <c r="C244" s="20"/>
      <c r="D244" s="21"/>
      <c r="E244" s="22"/>
    </row>
    <row r="245" spans="2:5" x14ac:dyDescent="0.3">
      <c r="B245" s="19"/>
      <c r="C245" s="20"/>
      <c r="D245" s="21"/>
      <c r="E245" s="22"/>
    </row>
    <row r="246" spans="2:5" x14ac:dyDescent="0.3">
      <c r="B246" s="19"/>
      <c r="C246" s="20"/>
      <c r="D246" s="21"/>
      <c r="E246" s="22"/>
    </row>
    <row r="247" spans="2:5" x14ac:dyDescent="0.3">
      <c r="B247" s="19"/>
      <c r="C247" s="20"/>
      <c r="D247" s="21"/>
      <c r="E247" s="22"/>
    </row>
    <row r="248" spans="2:5" x14ac:dyDescent="0.3">
      <c r="B248" s="19"/>
      <c r="C248" s="20"/>
      <c r="D248" s="21"/>
      <c r="E248" s="22"/>
    </row>
    <row r="249" spans="2:5" x14ac:dyDescent="0.3">
      <c r="B249" s="19"/>
      <c r="C249" s="20"/>
      <c r="D249" s="21"/>
      <c r="E249" s="22"/>
    </row>
    <row r="250" spans="2:5" x14ac:dyDescent="0.3">
      <c r="B250" s="19"/>
      <c r="C250" s="20"/>
      <c r="D250" s="21"/>
      <c r="E250" s="22"/>
    </row>
    <row r="251" spans="2:5" x14ac:dyDescent="0.3">
      <c r="B251" s="19"/>
      <c r="C251" s="20"/>
      <c r="D251" s="21"/>
      <c r="E251" s="22"/>
    </row>
    <row r="252" spans="2:5" x14ac:dyDescent="0.3">
      <c r="B252" s="19"/>
      <c r="C252" s="20"/>
      <c r="D252" s="21"/>
      <c r="E252" s="22"/>
    </row>
    <row r="253" spans="2:5" x14ac:dyDescent="0.3">
      <c r="B253" s="19"/>
      <c r="C253" s="20"/>
      <c r="D253" s="21"/>
      <c r="E253" s="22"/>
    </row>
    <row r="254" spans="2:5" x14ac:dyDescent="0.3">
      <c r="B254" s="19"/>
      <c r="C254" s="20"/>
      <c r="D254" s="21"/>
      <c r="E254" s="22"/>
    </row>
    <row r="255" spans="2:5" x14ac:dyDescent="0.3">
      <c r="B255" s="19"/>
      <c r="C255" s="20"/>
      <c r="D255" s="21"/>
      <c r="E255" s="22"/>
    </row>
    <row r="256" spans="2:5" x14ac:dyDescent="0.3">
      <c r="B256" s="19"/>
      <c r="C256" s="20"/>
      <c r="D256" s="21"/>
      <c r="E256" s="22"/>
    </row>
    <row r="257" spans="2:5" x14ac:dyDescent="0.3">
      <c r="B257" s="19"/>
      <c r="C257" s="20"/>
      <c r="D257" s="21"/>
      <c r="E257" s="22"/>
    </row>
    <row r="258" spans="2:5" x14ac:dyDescent="0.3">
      <c r="B258" s="19"/>
      <c r="C258" s="20"/>
      <c r="D258" s="21"/>
      <c r="E258" s="22"/>
    </row>
    <row r="259" spans="2:5" x14ac:dyDescent="0.3">
      <c r="B259" s="19"/>
      <c r="C259" s="20"/>
      <c r="D259" s="21"/>
      <c r="E259" s="22"/>
    </row>
    <row r="260" spans="2:5" x14ac:dyDescent="0.3">
      <c r="B260" s="19"/>
      <c r="C260" s="20"/>
      <c r="D260" s="21"/>
      <c r="E260" s="22"/>
    </row>
    <row r="261" spans="2:5" x14ac:dyDescent="0.3">
      <c r="B261" s="19"/>
      <c r="C261" s="20"/>
      <c r="D261" s="21"/>
      <c r="E261" s="22"/>
    </row>
    <row r="262" spans="2:5" x14ac:dyDescent="0.3">
      <c r="B262" s="19"/>
      <c r="C262" s="20"/>
      <c r="D262" s="21"/>
      <c r="E262" s="22"/>
    </row>
    <row r="263" spans="2:5" x14ac:dyDescent="0.3">
      <c r="B263" s="19"/>
      <c r="C263" s="20"/>
      <c r="D263" s="21"/>
      <c r="E263" s="22"/>
    </row>
    <row r="264" spans="2:5" x14ac:dyDescent="0.3">
      <c r="B264" s="19"/>
      <c r="C264" s="20"/>
      <c r="D264" s="21"/>
      <c r="E264" s="22"/>
    </row>
    <row r="265" spans="2:5" x14ac:dyDescent="0.3">
      <c r="B265" s="19"/>
      <c r="C265" s="20"/>
      <c r="D265" s="21"/>
      <c r="E265" s="22"/>
    </row>
    <row r="266" spans="2:5" x14ac:dyDescent="0.3">
      <c r="B266" s="19"/>
      <c r="C266" s="20"/>
      <c r="D266" s="21"/>
      <c r="E266" s="22"/>
    </row>
    <row r="267" spans="2:5" x14ac:dyDescent="0.3">
      <c r="B267" s="19"/>
      <c r="C267" s="20"/>
      <c r="D267" s="21"/>
      <c r="E267" s="22"/>
    </row>
    <row r="268" spans="2:5" x14ac:dyDescent="0.3">
      <c r="B268" s="19"/>
      <c r="C268" s="20"/>
      <c r="D268" s="21"/>
      <c r="E268" s="22"/>
    </row>
    <row r="269" spans="2:5" x14ac:dyDescent="0.3">
      <c r="B269" s="19"/>
      <c r="C269" s="20"/>
      <c r="D269" s="21"/>
      <c r="E269" s="22"/>
    </row>
    <row r="270" spans="2:5" x14ac:dyDescent="0.3">
      <c r="B270" s="19"/>
      <c r="C270" s="20"/>
      <c r="D270" s="21"/>
      <c r="E270" s="22"/>
    </row>
    <row r="271" spans="2:5" x14ac:dyDescent="0.3">
      <c r="B271" s="19"/>
      <c r="C271" s="20"/>
      <c r="D271" s="21"/>
      <c r="E271" s="22"/>
    </row>
    <row r="272" spans="2:5" x14ac:dyDescent="0.3">
      <c r="B272" s="19"/>
      <c r="C272" s="20"/>
      <c r="D272" s="21"/>
      <c r="E272" s="22"/>
    </row>
    <row r="273" spans="2:5" x14ac:dyDescent="0.3">
      <c r="B273" s="19"/>
      <c r="C273" s="20"/>
      <c r="D273" s="21"/>
      <c r="E273" s="22"/>
    </row>
    <row r="274" spans="2:5" x14ac:dyDescent="0.3">
      <c r="B274" s="19"/>
      <c r="C274" s="20"/>
      <c r="D274" s="21"/>
      <c r="E274" s="22"/>
    </row>
    <row r="275" spans="2:5" x14ac:dyDescent="0.3">
      <c r="B275" s="19"/>
      <c r="C275" s="20"/>
      <c r="D275" s="21"/>
      <c r="E275" s="22"/>
    </row>
    <row r="276" spans="2:5" x14ac:dyDescent="0.3">
      <c r="B276" s="19"/>
      <c r="C276" s="20"/>
      <c r="D276" s="21"/>
      <c r="E276" s="22"/>
    </row>
    <row r="277" spans="2:5" x14ac:dyDescent="0.3">
      <c r="B277" s="19"/>
      <c r="C277" s="20"/>
      <c r="D277" s="21"/>
      <c r="E277" s="22"/>
    </row>
    <row r="278" spans="2:5" x14ac:dyDescent="0.3">
      <c r="B278" s="19"/>
      <c r="C278" s="20"/>
      <c r="D278" s="21"/>
      <c r="E278" s="22"/>
    </row>
    <row r="279" spans="2:5" x14ac:dyDescent="0.3">
      <c r="B279" s="19"/>
      <c r="C279" s="20"/>
      <c r="D279" s="21"/>
      <c r="E279" s="22"/>
    </row>
    <row r="280" spans="2:5" x14ac:dyDescent="0.3">
      <c r="B280" s="19"/>
      <c r="C280" s="20"/>
      <c r="D280" s="21"/>
      <c r="E280" s="22"/>
    </row>
    <row r="281" spans="2:5" x14ac:dyDescent="0.3">
      <c r="B281" s="19"/>
      <c r="C281" s="20"/>
      <c r="D281" s="21"/>
      <c r="E281" s="22"/>
    </row>
    <row r="282" spans="2:5" x14ac:dyDescent="0.3">
      <c r="B282" s="19"/>
      <c r="C282" s="20"/>
      <c r="D282" s="21"/>
      <c r="E282" s="22"/>
    </row>
    <row r="283" spans="2:5" x14ac:dyDescent="0.3">
      <c r="B283" s="19"/>
      <c r="C283" s="20"/>
      <c r="D283" s="21"/>
      <c r="E283" s="22"/>
    </row>
    <row r="284" spans="2:5" x14ac:dyDescent="0.3">
      <c r="B284" s="19"/>
      <c r="C284" s="20"/>
      <c r="D284" s="21"/>
      <c r="E284" s="22"/>
    </row>
    <row r="285" spans="2:5" x14ac:dyDescent="0.3">
      <c r="B285" s="19"/>
      <c r="C285" s="20"/>
      <c r="D285" s="21"/>
      <c r="E285" s="22"/>
    </row>
    <row r="286" spans="2:5" x14ac:dyDescent="0.3">
      <c r="B286" s="19"/>
      <c r="C286" s="20"/>
      <c r="D286" s="21"/>
      <c r="E286" s="22"/>
    </row>
    <row r="287" spans="2:5" x14ac:dyDescent="0.3">
      <c r="B287" s="19"/>
      <c r="C287" s="20"/>
      <c r="D287" s="21"/>
      <c r="E287" s="22"/>
    </row>
    <row r="288" spans="2:5" x14ac:dyDescent="0.3">
      <c r="B288" s="19"/>
      <c r="C288" s="20"/>
      <c r="D288" s="21"/>
      <c r="E288" s="22"/>
    </row>
    <row r="289" spans="2:5" x14ac:dyDescent="0.3">
      <c r="B289" s="19"/>
      <c r="C289" s="20"/>
      <c r="D289" s="21"/>
      <c r="E289" s="22"/>
    </row>
    <row r="290" spans="2:5" x14ac:dyDescent="0.3">
      <c r="B290" s="19"/>
      <c r="C290" s="20"/>
      <c r="D290" s="21"/>
      <c r="E290" s="22"/>
    </row>
    <row r="291" spans="2:5" x14ac:dyDescent="0.3">
      <c r="B291" s="19"/>
      <c r="C291" s="20"/>
      <c r="D291" s="21"/>
      <c r="E291" s="22"/>
    </row>
    <row r="292" spans="2:5" x14ac:dyDescent="0.3">
      <c r="B292" s="19"/>
      <c r="C292" s="20"/>
      <c r="D292" s="21"/>
      <c r="E292" s="22"/>
    </row>
    <row r="293" spans="2:5" x14ac:dyDescent="0.3">
      <c r="B293" s="19"/>
      <c r="C293" s="20"/>
      <c r="D293" s="21"/>
      <c r="E293" s="22"/>
    </row>
    <row r="294" spans="2:5" x14ac:dyDescent="0.3">
      <c r="B294" s="19"/>
      <c r="C294" s="20"/>
      <c r="D294" s="21"/>
      <c r="E294" s="22"/>
    </row>
    <row r="295" spans="2:5" x14ac:dyDescent="0.3">
      <c r="B295" s="19"/>
      <c r="C295" s="20"/>
      <c r="D295" s="21"/>
      <c r="E295" s="22"/>
    </row>
    <row r="296" spans="2:5" x14ac:dyDescent="0.3">
      <c r="B296" s="19"/>
      <c r="C296" s="20"/>
      <c r="D296" s="21"/>
      <c r="E296" s="22"/>
    </row>
    <row r="297" spans="2:5" x14ac:dyDescent="0.3">
      <c r="B297" s="19"/>
      <c r="C297" s="20"/>
      <c r="D297" s="21"/>
      <c r="E297" s="22"/>
    </row>
    <row r="298" spans="2:5" x14ac:dyDescent="0.3">
      <c r="B298" s="19"/>
      <c r="C298" s="20"/>
      <c r="D298" s="21"/>
      <c r="E298" s="22"/>
    </row>
    <row r="299" spans="2:5" x14ac:dyDescent="0.3">
      <c r="B299" s="19"/>
      <c r="C299" s="20"/>
      <c r="D299" s="21"/>
      <c r="E299" s="22"/>
    </row>
    <row r="300" spans="2:5" x14ac:dyDescent="0.3">
      <c r="B300" s="19"/>
      <c r="C300" s="20"/>
      <c r="D300" s="21"/>
      <c r="E300" s="22"/>
    </row>
    <row r="301" spans="2:5" x14ac:dyDescent="0.3">
      <c r="B301" s="19"/>
      <c r="C301" s="20"/>
      <c r="D301" s="21"/>
      <c r="E301" s="22"/>
    </row>
    <row r="302" spans="2:5" x14ac:dyDescent="0.3">
      <c r="B302" s="19"/>
      <c r="C302" s="20"/>
      <c r="D302" s="21"/>
      <c r="E302" s="22"/>
    </row>
    <row r="303" spans="2:5" x14ac:dyDescent="0.3">
      <c r="B303" s="19"/>
      <c r="C303" s="20"/>
      <c r="D303" s="21"/>
      <c r="E303" s="22"/>
    </row>
    <row r="304" spans="2:5" x14ac:dyDescent="0.3">
      <c r="B304" s="19"/>
      <c r="C304" s="20"/>
      <c r="D304" s="21"/>
      <c r="E304" s="22"/>
    </row>
    <row r="305" spans="2:5" x14ac:dyDescent="0.3">
      <c r="B305" s="19"/>
      <c r="C305" s="20"/>
      <c r="D305" s="21"/>
      <c r="E305" s="22"/>
    </row>
    <row r="306" spans="2:5" x14ac:dyDescent="0.3">
      <c r="B306" s="19"/>
      <c r="C306" s="20"/>
      <c r="D306" s="21"/>
      <c r="E306" s="22"/>
    </row>
    <row r="307" spans="2:5" x14ac:dyDescent="0.3">
      <c r="B307" s="19"/>
      <c r="C307" s="20"/>
      <c r="D307" s="21"/>
      <c r="E307" s="22"/>
    </row>
    <row r="308" spans="2:5" x14ac:dyDescent="0.3">
      <c r="B308" s="19"/>
      <c r="C308" s="20"/>
      <c r="D308" s="21"/>
      <c r="E308" s="22"/>
    </row>
    <row r="309" spans="2:5" x14ac:dyDescent="0.3">
      <c r="B309" s="19"/>
      <c r="C309" s="20"/>
      <c r="D309" s="21"/>
      <c r="E309" s="22"/>
    </row>
    <row r="310" spans="2:5" x14ac:dyDescent="0.3">
      <c r="B310" s="19"/>
      <c r="C310" s="20"/>
      <c r="D310" s="21"/>
      <c r="E310" s="22"/>
    </row>
    <row r="311" spans="2:5" x14ac:dyDescent="0.3">
      <c r="B311" s="19"/>
      <c r="C311" s="20"/>
      <c r="D311" s="21"/>
      <c r="E311" s="22"/>
    </row>
    <row r="312" spans="2:5" x14ac:dyDescent="0.3">
      <c r="B312" s="19"/>
      <c r="C312" s="20"/>
      <c r="D312" s="21"/>
      <c r="E312" s="22"/>
    </row>
    <row r="313" spans="2:5" x14ac:dyDescent="0.3">
      <c r="B313" s="19"/>
      <c r="C313" s="20"/>
      <c r="D313" s="21"/>
      <c r="E313" s="22"/>
    </row>
    <row r="314" spans="2:5" x14ac:dyDescent="0.3">
      <c r="B314" s="19"/>
      <c r="C314" s="20"/>
      <c r="D314" s="21"/>
      <c r="E314" s="22"/>
    </row>
    <row r="315" spans="2:5" x14ac:dyDescent="0.3">
      <c r="B315" s="19"/>
      <c r="C315" s="20"/>
      <c r="D315" s="21"/>
      <c r="E315" s="22"/>
    </row>
    <row r="316" spans="2:5" x14ac:dyDescent="0.3">
      <c r="B316" s="19"/>
      <c r="C316" s="20"/>
      <c r="D316" s="21"/>
      <c r="E316" s="22"/>
    </row>
    <row r="317" spans="2:5" x14ac:dyDescent="0.3">
      <c r="B317" s="19"/>
      <c r="C317" s="20"/>
      <c r="D317" s="21"/>
      <c r="E317" s="22"/>
    </row>
    <row r="318" spans="2:5" x14ac:dyDescent="0.3">
      <c r="B318" s="19"/>
      <c r="C318" s="20"/>
      <c r="D318" s="21"/>
      <c r="E318" s="22"/>
    </row>
    <row r="319" spans="2:5" x14ac:dyDescent="0.3">
      <c r="B319" s="19"/>
      <c r="C319" s="20"/>
      <c r="D319" s="21"/>
      <c r="E319" s="22"/>
    </row>
    <row r="320" spans="2:5" x14ac:dyDescent="0.3">
      <c r="B320" s="19"/>
      <c r="C320" s="20"/>
      <c r="D320" s="21"/>
      <c r="E320" s="22"/>
    </row>
    <row r="321" spans="2:5" x14ac:dyDescent="0.3">
      <c r="B321" s="19"/>
      <c r="C321" s="20"/>
      <c r="D321" s="21"/>
      <c r="E321" s="22"/>
    </row>
    <row r="322" spans="2:5" x14ac:dyDescent="0.3">
      <c r="B322" s="19"/>
      <c r="C322" s="20"/>
      <c r="D322" s="21"/>
      <c r="E322" s="22"/>
    </row>
    <row r="323" spans="2:5" x14ac:dyDescent="0.3">
      <c r="B323" s="19"/>
      <c r="C323" s="20"/>
      <c r="D323" s="21"/>
      <c r="E323" s="22"/>
    </row>
    <row r="324" spans="2:5" x14ac:dyDescent="0.3">
      <c r="B324" s="19"/>
      <c r="C324" s="20"/>
      <c r="D324" s="21"/>
      <c r="E324" s="22"/>
    </row>
    <row r="325" spans="2:5" x14ac:dyDescent="0.3">
      <c r="B325" s="19"/>
      <c r="C325" s="20"/>
      <c r="D325" s="21"/>
      <c r="E325" s="22"/>
    </row>
    <row r="326" spans="2:5" x14ac:dyDescent="0.3">
      <c r="B326" s="19"/>
      <c r="C326" s="20"/>
      <c r="D326" s="21"/>
      <c r="E326" s="22"/>
    </row>
    <row r="327" spans="2:5" x14ac:dyDescent="0.3">
      <c r="B327" s="19"/>
      <c r="C327" s="20"/>
      <c r="D327" s="21"/>
      <c r="E327" s="22"/>
    </row>
    <row r="328" spans="2:5" x14ac:dyDescent="0.3">
      <c r="B328" s="19"/>
      <c r="C328" s="20"/>
      <c r="D328" s="21"/>
      <c r="E328" s="22"/>
    </row>
    <row r="329" spans="2:5" x14ac:dyDescent="0.3">
      <c r="B329" s="19"/>
      <c r="C329" s="20"/>
      <c r="D329" s="21"/>
      <c r="E329" s="22"/>
    </row>
    <row r="330" spans="2:5" x14ac:dyDescent="0.3">
      <c r="B330" s="19"/>
      <c r="C330" s="20"/>
      <c r="D330" s="21"/>
      <c r="E330" s="22"/>
    </row>
    <row r="331" spans="2:5" x14ac:dyDescent="0.3">
      <c r="B331" s="19"/>
      <c r="C331" s="20"/>
      <c r="D331" s="21"/>
      <c r="E331" s="22"/>
    </row>
    <row r="332" spans="2:5" x14ac:dyDescent="0.3">
      <c r="B332" s="19"/>
      <c r="C332" s="20"/>
      <c r="D332" s="21"/>
      <c r="E332" s="22"/>
    </row>
  </sheetData>
  <mergeCells count="2">
    <mergeCell ref="B11:D11"/>
    <mergeCell ref="B12:D12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B5C89-0025-4416-A807-B5CE378F7DDF}">
  <sheetPr codeName="Sheet2"/>
  <dimension ref="A1"/>
  <sheetViews>
    <sheetView topLeftCell="A35" workbookViewId="0">
      <selection activeCell="M41" sqref="M41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문혜영</dc:creator>
  <cp:lastModifiedBy>문혜영</cp:lastModifiedBy>
  <dcterms:created xsi:type="dcterms:W3CDTF">2024-02-26T02:30:55Z</dcterms:created>
  <dcterms:modified xsi:type="dcterms:W3CDTF">2024-02-26T05:57:55Z</dcterms:modified>
</cp:coreProperties>
</file>