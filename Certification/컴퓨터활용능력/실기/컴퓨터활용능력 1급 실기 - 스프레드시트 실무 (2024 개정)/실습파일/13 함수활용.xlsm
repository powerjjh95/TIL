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samsung\OneDrive\바탕 화면\동영상제작\아이티고 컴활1급 실기 스프레드시트\실습파일\"/>
    </mc:Choice>
  </mc:AlternateContent>
  <xr:revisionPtr revIDLastSave="0" documentId="13_ncr:1_{5C72BAAA-AE07-4CA2-8070-C4D322F15965}" xr6:coauthVersionLast="47" xr6:coauthVersionMax="47" xr10:uidLastSave="{00000000-0000-0000-0000-000000000000}"/>
  <bookViews>
    <workbookView xWindow="19080" yWindow="-120" windowWidth="19440" windowHeight="12240" tabRatio="852" activeTab="3" xr2:uid="{00000000-000D-0000-FFFF-FFFF00000000}"/>
  </bookViews>
  <sheets>
    <sheet name="1" sheetId="6" r:id="rId1"/>
    <sheet name="2" sheetId="12" r:id="rId2"/>
    <sheet name="3" sheetId="13" r:id="rId3"/>
    <sheet name="4" sheetId="15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6" l="1"/>
  <c r="E14" i="6"/>
  <c r="E15" i="6"/>
  <c r="E16" i="6"/>
  <c r="E17" i="6"/>
  <c r="J10" i="15" l="1"/>
  <c r="J9" i="15"/>
  <c r="J8" i="15"/>
  <c r="J7" i="15"/>
  <c r="J6" i="15"/>
  <c r="J5" i="15"/>
  <c r="J4" i="15"/>
  <c r="J3" i="15"/>
  <c r="D12" i="13" l="1"/>
  <c r="D11" i="13"/>
  <c r="D10" i="13"/>
  <c r="D9" i="13"/>
  <c r="D8" i="13"/>
  <c r="D7" i="13"/>
  <c r="D6" i="13"/>
  <c r="D5" i="13"/>
  <c r="D4" i="13"/>
  <c r="D3" i="13"/>
</calcChain>
</file>

<file path=xl/sharedStrings.xml><?xml version="1.0" encoding="utf-8"?>
<sst xmlns="http://schemas.openxmlformats.org/spreadsheetml/2006/main" count="254" uniqueCount="202">
  <si>
    <t>성명</t>
    <phoneticPr fontId="3" type="noConversion"/>
  </si>
  <si>
    <t>이름</t>
  </si>
  <si>
    <t>전화번호 보안</t>
    <phoneticPr fontId="3" type="noConversion"/>
  </si>
  <si>
    <t>010-1456-3456</t>
    <phoneticPr fontId="3" type="noConversion"/>
  </si>
  <si>
    <t>010-7676-1234</t>
    <phoneticPr fontId="3" type="noConversion"/>
  </si>
  <si>
    <t>010-8989-9876</t>
    <phoneticPr fontId="3" type="noConversion"/>
  </si>
  <si>
    <t>010-1234-9876</t>
    <phoneticPr fontId="3" type="noConversion"/>
  </si>
  <si>
    <t>010-7777-9999</t>
    <phoneticPr fontId="3" type="noConversion"/>
  </si>
  <si>
    <t>010-6543-4321</t>
    <phoneticPr fontId="3" type="noConversion"/>
  </si>
  <si>
    <t>전화번호</t>
    <phoneticPr fontId="3" type="noConversion"/>
  </si>
  <si>
    <t>직  원  명  부</t>
  </si>
  <si>
    <t>부서</t>
  </si>
  <si>
    <t>인사</t>
  </si>
  <si>
    <t>기획</t>
  </si>
  <si>
    <t>총무</t>
  </si>
  <si>
    <t>730307-2921514</t>
  </si>
  <si>
    <t>성별</t>
    <phoneticPr fontId="3" type="noConversion"/>
  </si>
  <si>
    <t>주민번호</t>
    <phoneticPr fontId="3" type="noConversion"/>
  </si>
  <si>
    <t>이름</t>
    <phoneticPr fontId="4" type="noConversion"/>
  </si>
  <si>
    <t>워드</t>
    <phoneticPr fontId="4" type="noConversion"/>
  </si>
  <si>
    <t>엑셀</t>
    <phoneticPr fontId="4" type="noConversion"/>
  </si>
  <si>
    <t>평균</t>
    <phoneticPr fontId="4" type="noConversion"/>
  </si>
  <si>
    <t>평가1</t>
    <phoneticPr fontId="4" type="noConversion"/>
  </si>
  <si>
    <t>평가2</t>
    <phoneticPr fontId="4" type="noConversion"/>
  </si>
  <si>
    <t>최진구</t>
    <phoneticPr fontId="4" type="noConversion"/>
  </si>
  <si>
    <t>이우애</t>
    <phoneticPr fontId="4" type="noConversion"/>
  </si>
  <si>
    <t>고아라</t>
    <phoneticPr fontId="4" type="noConversion"/>
  </si>
  <si>
    <t>김현수</t>
    <phoneticPr fontId="4" type="noConversion"/>
  </si>
  <si>
    <t>최상윤</t>
    <phoneticPr fontId="4" type="noConversion"/>
  </si>
  <si>
    <t>김치국</t>
    <phoneticPr fontId="4" type="noConversion"/>
  </si>
  <si>
    <t>720412-2063719</t>
    <phoneticPr fontId="3" type="noConversion"/>
  </si>
  <si>
    <t>790210-2401016</t>
    <phoneticPr fontId="3" type="noConversion"/>
  </si>
  <si>
    <t>700214-1000413</t>
    <phoneticPr fontId="3" type="noConversion"/>
  </si>
  <si>
    <t>인사</t>
    <phoneticPr fontId="3" type="noConversion"/>
  </si>
  <si>
    <t>고객이름</t>
    <phoneticPr fontId="4" type="noConversion"/>
  </si>
  <si>
    <t>대출일자</t>
    <phoneticPr fontId="4" type="noConversion"/>
  </si>
  <si>
    <t>대출기간(개월)</t>
    <phoneticPr fontId="4" type="noConversion"/>
  </si>
  <si>
    <t>대출금</t>
    <phoneticPr fontId="4" type="noConversion"/>
  </si>
  <si>
    <t>지급수수료</t>
    <phoneticPr fontId="4" type="noConversion"/>
  </si>
  <si>
    <t>대출기간(12개월)의 대출금 합계</t>
    <phoneticPr fontId="4" type="noConversion"/>
  </si>
  <si>
    <t>신현호</t>
    <phoneticPr fontId="4" type="noConversion"/>
  </si>
  <si>
    <t>임동년</t>
    <phoneticPr fontId="4" type="noConversion"/>
  </si>
  <si>
    <t>정신호</t>
    <phoneticPr fontId="4" type="noConversion"/>
  </si>
  <si>
    <t>함운식</t>
    <phoneticPr fontId="4" type="noConversion"/>
  </si>
  <si>
    <t>최영섭</t>
    <phoneticPr fontId="4" type="noConversion"/>
  </si>
  <si>
    <t>고창식</t>
    <phoneticPr fontId="4" type="noConversion"/>
  </si>
  <si>
    <t>&lt;대출 수수료율&gt;</t>
    <phoneticPr fontId="4" type="noConversion"/>
  </si>
  <si>
    <t>수수료율</t>
    <phoneticPr fontId="4" type="noConversion"/>
  </si>
  <si>
    <t>* 지급수수료 : 대출기간에 따른 대출수수료율을 참조하여 "대출금*수수료율"로계산(vlookup함수)</t>
    <phoneticPr fontId="3" type="noConversion"/>
  </si>
  <si>
    <t>*최장대출기간의 대출금 합계: 대출기간이 12개월인 대출금합계표시(dsum)</t>
    <phoneticPr fontId="3" type="noConversion"/>
  </si>
  <si>
    <t xml:space="preserve">[표5] </t>
    <phoneticPr fontId="4" type="noConversion"/>
  </si>
  <si>
    <t>경기 결과</t>
    <phoneticPr fontId="3" type="noConversion"/>
  </si>
  <si>
    <t>팀명</t>
    <phoneticPr fontId="3" type="noConversion"/>
  </si>
  <si>
    <t>1차대회</t>
    <phoneticPr fontId="3" type="noConversion"/>
  </si>
  <si>
    <t>2차대회</t>
    <phoneticPr fontId="3" type="noConversion"/>
  </si>
  <si>
    <t>총점</t>
    <phoneticPr fontId="3" type="noConversion"/>
  </si>
  <si>
    <t>결과</t>
    <phoneticPr fontId="3" type="noConversion"/>
  </si>
  <si>
    <t>불사조</t>
    <phoneticPr fontId="3" type="noConversion"/>
  </si>
  <si>
    <t>자이언츠</t>
    <phoneticPr fontId="3" type="noConversion"/>
  </si>
  <si>
    <t>라이징</t>
    <phoneticPr fontId="3" type="noConversion"/>
  </si>
  <si>
    <t>천하무적</t>
    <phoneticPr fontId="3" type="noConversion"/>
  </si>
  <si>
    <t>블루파인</t>
    <phoneticPr fontId="3" type="noConversion"/>
  </si>
  <si>
    <t>신기루</t>
    <phoneticPr fontId="3" type="noConversion"/>
  </si>
  <si>
    <t>블랙이글</t>
    <phoneticPr fontId="3" type="noConversion"/>
  </si>
  <si>
    <t>슛타임</t>
    <phoneticPr fontId="3" type="noConversion"/>
  </si>
  <si>
    <t>천방지축</t>
    <phoneticPr fontId="3" type="noConversion"/>
  </si>
  <si>
    <t>미스터리</t>
    <phoneticPr fontId="3" type="noConversion"/>
  </si>
  <si>
    <t>상반기 회원명단</t>
    <phoneticPr fontId="3" type="noConversion"/>
  </si>
  <si>
    <t>고객번호</t>
    <phoneticPr fontId="4" type="noConversion"/>
  </si>
  <si>
    <t>고객명</t>
    <phoneticPr fontId="4" type="noConversion"/>
  </si>
  <si>
    <t>추천횟수</t>
    <phoneticPr fontId="4" type="noConversion"/>
  </si>
  <si>
    <t>손희철</t>
    <phoneticPr fontId="4" type="noConversion"/>
  </si>
  <si>
    <t>김상빈</t>
    <phoneticPr fontId="4" type="noConversion"/>
  </si>
  <si>
    <t>권우영</t>
    <phoneticPr fontId="4" type="noConversion"/>
  </si>
  <si>
    <t>김현지</t>
    <phoneticPr fontId="4" type="noConversion"/>
  </si>
  <si>
    <t>정다은</t>
    <phoneticPr fontId="4" type="noConversion"/>
  </si>
  <si>
    <t>이현승</t>
    <phoneticPr fontId="4" type="noConversion"/>
  </si>
  <si>
    <t>박동화</t>
    <phoneticPr fontId="4" type="noConversion"/>
  </si>
  <si>
    <t>엄세훈</t>
    <phoneticPr fontId="4" type="noConversion"/>
  </si>
  <si>
    <t>추천횟수가 가장 많은 고객명
(index, max, match)</t>
    <phoneticPr fontId="3" type="noConversion"/>
  </si>
  <si>
    <t xml:space="preserve">[표4] </t>
    <phoneticPr fontId="4" type="noConversion"/>
  </si>
  <si>
    <t>입학 지원자 현황</t>
    <phoneticPr fontId="3" type="noConversion"/>
  </si>
  <si>
    <t>학교명</t>
    <phoneticPr fontId="3" type="noConversion"/>
  </si>
  <si>
    <t>결석일수</t>
    <phoneticPr fontId="3" type="noConversion"/>
  </si>
  <si>
    <t>자격증</t>
    <phoneticPr fontId="3" type="noConversion"/>
  </si>
  <si>
    <t>내신등급</t>
    <phoneticPr fontId="3" type="noConversion"/>
  </si>
  <si>
    <t>등급</t>
    <phoneticPr fontId="3" type="noConversion"/>
  </si>
  <si>
    <t>유</t>
    <phoneticPr fontId="3" type="noConversion"/>
  </si>
  <si>
    <t>무</t>
    <phoneticPr fontId="3" type="noConversion"/>
  </si>
  <si>
    <t>[등급표]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</si>
  <si>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</si>
  <si>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</si>
  <si>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</si>
  <si>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</si>
  <si>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</si>
  <si>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* 등급 : 내신등급과 등급표를 이용하여 등급을 구하기 Hlookup</t>
    <phoneticPr fontId="3" type="noConversion"/>
  </si>
  <si>
    <t>순위(rank.eq, 내림)</t>
    <phoneticPr fontId="3" type="noConversion"/>
  </si>
  <si>
    <t>성명</t>
    <phoneticPr fontId="4" type="noConversion"/>
  </si>
  <si>
    <t>학과</t>
    <phoneticPr fontId="4" type="noConversion"/>
  </si>
  <si>
    <t>영어</t>
    <phoneticPr fontId="4" type="noConversion"/>
  </si>
  <si>
    <t>수학</t>
    <phoneticPr fontId="4" type="noConversion"/>
  </si>
  <si>
    <t>전현수</t>
    <phoneticPr fontId="4" type="noConversion"/>
  </si>
  <si>
    <t>건축과</t>
    <phoneticPr fontId="4" type="noConversion"/>
  </si>
  <si>
    <t>김명훈</t>
    <phoneticPr fontId="4" type="noConversion"/>
  </si>
  <si>
    <t>기계과</t>
    <phoneticPr fontId="4" type="noConversion"/>
  </si>
  <si>
    <t>하현호</t>
    <phoneticPr fontId="4" type="noConversion"/>
  </si>
  <si>
    <t>경영과</t>
    <phoneticPr fontId="4" type="noConversion"/>
  </si>
  <si>
    <t>강진성</t>
    <phoneticPr fontId="4" type="noConversion"/>
  </si>
  <si>
    <t>박희선</t>
    <phoneticPr fontId="4" type="noConversion"/>
  </si>
  <si>
    <t>엄정희</t>
    <phoneticPr fontId="4" type="noConversion"/>
  </si>
  <si>
    <t>이성식</t>
    <phoneticPr fontId="4" type="noConversion"/>
  </si>
  <si>
    <t>김영희</t>
    <phoneticPr fontId="4" type="noConversion"/>
  </si>
  <si>
    <t>학생수</t>
    <phoneticPr fontId="4" type="noConversion"/>
  </si>
  <si>
    <t>영어 최대점수</t>
    <phoneticPr fontId="4" type="noConversion"/>
  </si>
  <si>
    <t>영어 최소점수</t>
    <phoneticPr fontId="4" type="noConversion"/>
  </si>
  <si>
    <t>[표1]</t>
    <phoneticPr fontId="3" type="noConversion"/>
  </si>
  <si>
    <t>[표2]</t>
    <phoneticPr fontId="3" type="noConversion"/>
  </si>
  <si>
    <t>이름</t>
    <phoneticPr fontId="3" type="noConversion"/>
  </si>
  <si>
    <t>출신지역</t>
    <phoneticPr fontId="3" type="noConversion"/>
  </si>
  <si>
    <t>서점</t>
    <phoneticPr fontId="3" type="noConversion"/>
  </si>
  <si>
    <t>도서</t>
    <phoneticPr fontId="3" type="noConversion"/>
  </si>
  <si>
    <t>상반기</t>
    <phoneticPr fontId="3" type="noConversion"/>
  </si>
  <si>
    <t>하반기</t>
    <phoneticPr fontId="3" type="noConversion"/>
  </si>
  <si>
    <t>서울</t>
    <phoneticPr fontId="3" type="noConversion"/>
  </si>
  <si>
    <t>하나문고</t>
    <phoneticPr fontId="3" type="noConversion"/>
  </si>
  <si>
    <t>인천</t>
    <phoneticPr fontId="3" type="noConversion"/>
  </si>
  <si>
    <t>소설</t>
    <phoneticPr fontId="3" type="noConversion"/>
  </si>
  <si>
    <t>부산</t>
    <phoneticPr fontId="3" type="noConversion"/>
  </si>
  <si>
    <t>로맨스</t>
    <phoneticPr fontId="3" type="noConversion"/>
  </si>
  <si>
    <t>광주</t>
    <phoneticPr fontId="3" type="noConversion"/>
  </si>
  <si>
    <t>출신지역이 서울인 학생수</t>
    <phoneticPr fontId="3" type="noConversion"/>
  </si>
  <si>
    <t>국민서점</t>
    <phoneticPr fontId="3" type="noConversion"/>
  </si>
  <si>
    <t>[표3]</t>
    <phoneticPr fontId="3" type="noConversion"/>
  </si>
  <si>
    <t>(단위:만원)</t>
    <phoneticPr fontId="3" type="noConversion"/>
  </si>
  <si>
    <t>고객명</t>
    <phoneticPr fontId="3" type="noConversion"/>
  </si>
  <si>
    <t>대출금액</t>
    <phoneticPr fontId="3" type="noConversion"/>
  </si>
  <si>
    <t>이자</t>
    <phoneticPr fontId="3" type="noConversion"/>
  </si>
  <si>
    <t>[표4]</t>
    <phoneticPr fontId="3" type="noConversion"/>
  </si>
  <si>
    <t>수상</t>
    <phoneticPr fontId="3" type="noConversion"/>
  </si>
  <si>
    <t>&lt;이자율표&gt;</t>
    <phoneticPr fontId="3" type="noConversion"/>
  </si>
  <si>
    <t>이자율</t>
    <phoneticPr fontId="3" type="noConversion"/>
  </si>
  <si>
    <t>[표5]</t>
    <phoneticPr fontId="3" type="noConversion"/>
  </si>
  <si>
    <t>통화명</t>
    <phoneticPr fontId="3" type="noConversion"/>
  </si>
  <si>
    <t>USD</t>
    <phoneticPr fontId="3" type="noConversion"/>
  </si>
  <si>
    <t>CNY</t>
    <phoneticPr fontId="3" type="noConversion"/>
  </si>
  <si>
    <t>타고나</t>
    <phoneticPr fontId="3" type="noConversion"/>
  </si>
  <si>
    <t>번호</t>
    <phoneticPr fontId="3" type="noConversion"/>
  </si>
  <si>
    <t>대구</t>
    <phoneticPr fontId="3" type="noConversion"/>
  </si>
  <si>
    <t>점수</t>
    <phoneticPr fontId="3" type="noConversion"/>
  </si>
  <si>
    <t>교보문고</t>
    <phoneticPr fontId="3" type="noConversion"/>
  </si>
  <si>
    <t>마들서적</t>
    <phoneticPr fontId="3" type="noConversion"/>
  </si>
  <si>
    <t>YES24</t>
    <phoneticPr fontId="3" type="noConversion"/>
  </si>
  <si>
    <t>라레서점</t>
    <phoneticPr fontId="3" type="noConversion"/>
  </si>
  <si>
    <t>마루서적</t>
    <phoneticPr fontId="3" type="noConversion"/>
  </si>
  <si>
    <t>ABC서점</t>
    <phoneticPr fontId="3" type="noConversion"/>
  </si>
  <si>
    <t>전문 최대값-최소값 차이</t>
    <phoneticPr fontId="3" type="noConversion"/>
  </si>
  <si>
    <t>전문</t>
    <phoneticPr fontId="3" type="noConversion"/>
  </si>
  <si>
    <t>대출코드</t>
    <phoneticPr fontId="3" type="noConversion"/>
  </si>
  <si>
    <t>P001</t>
    <phoneticPr fontId="3" type="noConversion"/>
  </si>
  <si>
    <t>P002</t>
  </si>
  <si>
    <t>P003</t>
  </si>
  <si>
    <t>P004</t>
  </si>
  <si>
    <t>P005</t>
  </si>
  <si>
    <t>에이든</t>
    <phoneticPr fontId="3" type="noConversion"/>
  </si>
  <si>
    <t>클로이</t>
    <phoneticPr fontId="3" type="noConversion"/>
  </si>
  <si>
    <t>제이든</t>
    <phoneticPr fontId="3" type="noConversion"/>
  </si>
  <si>
    <t>앤드류</t>
    <phoneticPr fontId="3" type="noConversion"/>
  </si>
  <si>
    <t>아리아</t>
    <phoneticPr fontId="3" type="noConversion"/>
  </si>
  <si>
    <t>이송이</t>
    <phoneticPr fontId="3" type="noConversion"/>
  </si>
  <si>
    <t>조라나</t>
    <phoneticPr fontId="3" type="noConversion"/>
  </si>
  <si>
    <t>보르미</t>
    <phoneticPr fontId="3" type="noConversion"/>
  </si>
  <si>
    <t>보아라</t>
    <phoneticPr fontId="3" type="noConversion"/>
  </si>
  <si>
    <t>다스리</t>
    <phoneticPr fontId="3" type="noConversion"/>
  </si>
  <si>
    <t>미드미</t>
    <phoneticPr fontId="3" type="noConversion"/>
  </si>
  <si>
    <t>무지개</t>
    <phoneticPr fontId="3" type="noConversion"/>
  </si>
  <si>
    <t>튼마루</t>
    <phoneticPr fontId="3" type="noConversion"/>
  </si>
  <si>
    <t>타오름</t>
    <phoneticPr fontId="3" type="noConversion"/>
  </si>
  <si>
    <t>초고리</t>
    <phoneticPr fontId="3" type="noConversion"/>
  </si>
  <si>
    <t>조롱목</t>
    <phoneticPr fontId="3" type="noConversion"/>
  </si>
  <si>
    <t>진달래</t>
    <phoneticPr fontId="3" type="noConversion"/>
  </si>
  <si>
    <t>은송이</t>
    <phoneticPr fontId="3" type="noConversion"/>
  </si>
  <si>
    <t>이루리</t>
    <phoneticPr fontId="3" type="noConversion"/>
  </si>
  <si>
    <t>EGP</t>
    <phoneticPr fontId="3" type="noConversion"/>
  </si>
  <si>
    <t>EUR</t>
    <phoneticPr fontId="3" type="noConversion"/>
  </si>
  <si>
    <t>HKD</t>
    <phoneticPr fontId="3" type="noConversion"/>
  </si>
  <si>
    <t>매매기준율</t>
    <phoneticPr fontId="3" type="noConversion"/>
  </si>
  <si>
    <t>000514-4626014</t>
    <phoneticPr fontId="3" type="noConversion"/>
  </si>
  <si>
    <t>011105-3325232</t>
    <phoneticPr fontId="3" type="noConversion"/>
  </si>
  <si>
    <t>홍길동</t>
    <phoneticPr fontId="4" type="noConversion"/>
  </si>
  <si>
    <t>정주리</t>
    <phoneticPr fontId="4" type="noConversion"/>
  </si>
  <si>
    <t>고객별 대출현황</t>
    <phoneticPr fontId="4" type="noConversion"/>
  </si>
  <si>
    <t>홍길동</t>
    <phoneticPr fontId="3" type="noConversion"/>
  </si>
  <si>
    <t>이진아</t>
    <phoneticPr fontId="3" type="noConversion"/>
  </si>
  <si>
    <t>표하라</t>
    <phoneticPr fontId="3" type="noConversion"/>
  </si>
  <si>
    <t>전수지</t>
    <phoneticPr fontId="3" type="noConversion"/>
  </si>
  <si>
    <t>김이국</t>
    <phoneticPr fontId="3" type="noConversion"/>
  </si>
  <si>
    <t>강나라</t>
    <phoneticPr fontId="3" type="noConversion"/>
  </si>
  <si>
    <t>이중식</t>
    <phoneticPr fontId="3" type="noConversion"/>
  </si>
  <si>
    <t>안나하</t>
    <phoneticPr fontId="3" type="noConversion"/>
  </si>
  <si>
    <t>* 총점을 기준으로 내림차순순위를 구해서 1~3위는 본선진출, 나머지는 공백으로 표시하시오 (rank.eq, choose)</t>
    <phoneticPr fontId="3" type="noConversion"/>
  </si>
  <si>
    <t>&lt;90</t>
    <phoneticPr fontId="3" type="noConversion"/>
  </si>
  <si>
    <t>판매량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</si>
</sst>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₩&quot;* #,##0_-;\-&quot;₩&quot;* #,##0_-;_-&quot;₩&quot;* &quot;-&quot;_-;_-@_-"/>
    <numFmt numFmtId="41" formatCode="_-* #,##0_-;\-* #,##0_-;_-* &quot;-&quot;_-;_-@_-"/>
    <numFmt numFmtId="177" formatCode="0.0%"/>
    <numFmt numFmtId="178" formatCode="#,##0_ "/>
    <numFmt numFmtId="179" formatCode="#,##0.00_ "/>
  </numFmts>
  <fonts count="1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u/>
      <sz val="11"/>
      <color theme="10"/>
      <name val="맑은 고딕"/>
      <family val="3"/>
      <charset val="129"/>
    </font>
    <font>
      <b/>
      <sz val="22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9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name val="굴림"/>
      <family val="3"/>
      <charset val="129"/>
    </font>
    <font>
      <b/>
      <sz val="11"/>
      <color theme="1"/>
      <name val="맑은 고딕"/>
      <family val="3"/>
      <charset val="129"/>
      <scheme val="major"/>
    </font>
    <font>
      <sz val="1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8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9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7" fillId="0" borderId="0">
      <alignment vertical="center"/>
    </xf>
    <xf numFmtId="0" fontId="2" fillId="0" borderId="0">
      <alignment vertical="center"/>
    </xf>
    <xf numFmtId="0" fontId="2" fillId="0" borderId="0"/>
    <xf numFmtId="0" fontId="7" fillId="0" borderId="0">
      <alignment vertical="center"/>
    </xf>
    <xf numFmtId="42" fontId="2" fillId="0" borderId="0" applyFont="0" applyFill="0" applyBorder="0" applyAlignment="0" applyProtection="0"/>
  </cellStyleXfs>
  <cellXfs count="7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10" fillId="0" borderId="0" xfId="0" applyFont="1">
      <alignment vertical="center"/>
    </xf>
    <xf numFmtId="0" fontId="8" fillId="2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9" fillId="0" borderId="1" xfId="0" applyFont="1" applyFill="1" applyBorder="1" applyAlignment="1">
      <alignment vertical="center"/>
    </xf>
    <xf numFmtId="14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>
      <alignment vertic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6" fillId="0" borderId="0" xfId="0" applyFont="1" applyFill="1" applyBorder="1" applyAlignment="1">
      <alignment horizontal="center" vertical="center"/>
    </xf>
    <xf numFmtId="0" fontId="13" fillId="0" borderId="1" xfId="5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 vertical="center"/>
    </xf>
    <xf numFmtId="0" fontId="7" fillId="0" borderId="1" xfId="0" applyNumberFormat="1" applyFont="1" applyFill="1" applyBorder="1" applyAlignment="1">
      <alignment horizontal="center" vertical="center"/>
    </xf>
    <xf numFmtId="0" fontId="13" fillId="4" borderId="1" xfId="5" applyFont="1" applyFill="1" applyBorder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3" fontId="0" fillId="0" borderId="1" xfId="0" applyNumberFormat="1" applyBorder="1">
      <alignment vertical="center"/>
    </xf>
    <xf numFmtId="0" fontId="0" fillId="0" borderId="0" xfId="0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177" fontId="0" fillId="0" borderId="1" xfId="0" applyNumberFormat="1" applyBorder="1" applyAlignment="1">
      <alignment horizont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14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0" fontId="7" fillId="0" borderId="0" xfId="0" applyFont="1">
      <alignment vertical="center"/>
    </xf>
    <xf numFmtId="0" fontId="7" fillId="0" borderId="1" xfId="0" applyFont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0" xfId="0" applyFont="1">
      <alignment vertical="center"/>
    </xf>
    <xf numFmtId="49" fontId="9" fillId="0" borderId="0" xfId="0" applyNumberFormat="1" applyFont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1" xfId="7" applyFont="1" applyBorder="1" applyAlignment="1">
      <alignment horizontal="center" vertical="center"/>
    </xf>
    <xf numFmtId="0" fontId="9" fillId="0" borderId="0" xfId="7" applyFont="1">
      <alignment vertical="center"/>
    </xf>
    <xf numFmtId="0" fontId="11" fillId="0" borderId="0" xfId="0" applyFont="1">
      <alignment vertical="center"/>
    </xf>
    <xf numFmtId="0" fontId="16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10" fontId="0" fillId="0" borderId="0" xfId="0" applyNumberFormat="1">
      <alignment vertical="center"/>
    </xf>
    <xf numFmtId="9" fontId="0" fillId="0" borderId="1" xfId="0" applyNumberFormat="1" applyBorder="1" applyAlignment="1">
      <alignment horizontal="center" vertical="center"/>
    </xf>
    <xf numFmtId="9" fontId="0" fillId="0" borderId="0" xfId="0" applyNumberFormat="1">
      <alignment vertical="center"/>
    </xf>
    <xf numFmtId="179" fontId="0" fillId="0" borderId="1" xfId="1" applyNumberFormat="1" applyFont="1" applyBorder="1" applyAlignment="1">
      <alignment horizontal="right" vertical="center"/>
    </xf>
    <xf numFmtId="0" fontId="0" fillId="4" borderId="1" xfId="0" applyFill="1" applyBorder="1" applyAlignment="1">
      <alignment horizontal="center" vertical="center"/>
    </xf>
    <xf numFmtId="41" fontId="0" fillId="4" borderId="1" xfId="1" applyFont="1" applyFill="1" applyBorder="1" applyAlignment="1">
      <alignment horizontal="center" vertical="center"/>
    </xf>
    <xf numFmtId="0" fontId="0" fillId="4" borderId="1" xfId="1" applyNumberFormat="1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9" fillId="4" borderId="1" xfId="7" applyFont="1" applyFill="1" applyBorder="1" applyAlignment="1">
      <alignment horizontal="center"/>
    </xf>
    <xf numFmtId="0" fontId="0" fillId="4" borderId="1" xfId="0" applyFill="1" applyBorder="1" applyAlignment="1">
      <alignment horizontal="center" vertical="center"/>
    </xf>
    <xf numFmtId="178" fontId="0" fillId="4" borderId="2" xfId="0" applyNumberFormat="1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4" borderId="1" xfId="2" applyNumberFormat="1" applyFont="1" applyFill="1" applyBorder="1">
      <alignment vertical="center"/>
    </xf>
    <xf numFmtId="0" fontId="9" fillId="4" borderId="8" xfId="0" applyNumberFormat="1" applyFont="1" applyFill="1" applyBorder="1" applyAlignment="1">
      <alignment horizontal="center" vertical="center"/>
    </xf>
    <xf numFmtId="41" fontId="0" fillId="4" borderId="1" xfId="1" applyNumberFormat="1" applyFont="1" applyFill="1" applyBorder="1">
      <alignment vertical="center"/>
    </xf>
  </cellXfs>
  <cellStyles count="9">
    <cellStyle name="백분율" xfId="2" builtinId="5"/>
    <cellStyle name="쉼표 [0]" xfId="1" builtinId="6"/>
    <cellStyle name="통화 [0] 2" xfId="8" xr:uid="{1A1374EC-8C90-40BC-A792-1F47431BE3AD}"/>
    <cellStyle name="표준" xfId="0" builtinId="0"/>
    <cellStyle name="표준 2" xfId="7" xr:uid="{5055D8F8-9AF2-4755-8323-AE8004504E48}"/>
    <cellStyle name="표준 5" xfId="4" xr:uid="{00000000-0005-0000-0000-000003000000}"/>
    <cellStyle name="표준_Sheet1" xfId="6" xr:uid="{A8DDEDF1-AEEA-4970-A20E-6E8D01BEDC84}"/>
    <cellStyle name="표준_날짜시간계산_완성" xfId="5" xr:uid="{00000000-0005-0000-0000-000004000000}"/>
    <cellStyle name="하이퍼링크 2" xfId="3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G17"/>
  <sheetViews>
    <sheetView workbookViewId="0">
      <selection activeCell="E21" sqref="E21"/>
    </sheetView>
  </sheetViews>
  <sheetFormatPr defaultRowHeight="16.5"/>
  <cols>
    <col min="1" max="1" width="0.5" customWidth="1"/>
    <col min="4" max="4" width="15.875" bestFit="1" customWidth="1"/>
    <col min="6" max="6" width="14.375" bestFit="1" customWidth="1"/>
    <col min="7" max="7" width="12.75" customWidth="1"/>
    <col min="8" max="8" width="15.5" bestFit="1" customWidth="1"/>
    <col min="9" max="9" width="13.75" bestFit="1" customWidth="1"/>
  </cols>
  <sheetData>
    <row r="1" spans="2:7" ht="30.75" customHeight="1">
      <c r="B1" s="14" t="s">
        <v>10</v>
      </c>
      <c r="C1" s="14"/>
      <c r="D1" s="14"/>
      <c r="E1" s="14"/>
      <c r="F1" s="14"/>
      <c r="G1" s="14"/>
    </row>
    <row r="2" spans="2:7">
      <c r="B2" s="9"/>
      <c r="C2" s="9"/>
      <c r="D2" s="9"/>
      <c r="E2" s="9"/>
    </row>
    <row r="3" spans="2:7">
      <c r="B3" s="15" t="s">
        <v>1</v>
      </c>
      <c r="C3" s="15" t="s">
        <v>11</v>
      </c>
      <c r="D3" s="15" t="s">
        <v>17</v>
      </c>
      <c r="E3" s="19" t="s">
        <v>16</v>
      </c>
      <c r="F3" s="4" t="s">
        <v>9</v>
      </c>
      <c r="G3" s="10" t="s">
        <v>2</v>
      </c>
    </row>
    <row r="4" spans="2:7">
      <c r="B4" s="16" t="s">
        <v>24</v>
      </c>
      <c r="C4" s="16" t="s">
        <v>12</v>
      </c>
      <c r="D4" s="17" t="s">
        <v>30</v>
      </c>
      <c r="E4" s="18"/>
      <c r="F4" s="6" t="s">
        <v>3</v>
      </c>
      <c r="G4" s="10"/>
    </row>
    <row r="5" spans="2:7">
      <c r="B5" s="16" t="s">
        <v>25</v>
      </c>
      <c r="C5" s="16" t="s">
        <v>13</v>
      </c>
      <c r="D5" s="17" t="s">
        <v>187</v>
      </c>
      <c r="E5" s="18"/>
      <c r="F5" s="6" t="s">
        <v>4</v>
      </c>
      <c r="G5" s="10"/>
    </row>
    <row r="6" spans="2:7">
      <c r="B6" s="16" t="s">
        <v>26</v>
      </c>
      <c r="C6" s="16" t="s">
        <v>33</v>
      </c>
      <c r="D6" s="17" t="s">
        <v>186</v>
      </c>
      <c r="E6" s="18"/>
      <c r="F6" s="6" t="s">
        <v>5</v>
      </c>
      <c r="G6" s="10"/>
    </row>
    <row r="7" spans="2:7">
      <c r="B7" s="16" t="s">
        <v>27</v>
      </c>
      <c r="C7" s="16" t="s">
        <v>13</v>
      </c>
      <c r="D7" s="17" t="s">
        <v>31</v>
      </c>
      <c r="E7" s="18"/>
      <c r="F7" s="6" t="s">
        <v>6</v>
      </c>
      <c r="G7" s="10"/>
    </row>
    <row r="8" spans="2:7">
      <c r="B8" s="16" t="s">
        <v>28</v>
      </c>
      <c r="C8" s="16" t="s">
        <v>14</v>
      </c>
      <c r="D8" s="17" t="s">
        <v>15</v>
      </c>
      <c r="E8" s="18"/>
      <c r="F8" s="7" t="s">
        <v>7</v>
      </c>
      <c r="G8" s="10"/>
    </row>
    <row r="9" spans="2:7">
      <c r="B9" s="16" t="s">
        <v>29</v>
      </c>
      <c r="C9" s="16" t="s">
        <v>12</v>
      </c>
      <c r="D9" s="17" t="s">
        <v>32</v>
      </c>
      <c r="E9" s="18"/>
      <c r="F9" s="7" t="s">
        <v>8</v>
      </c>
      <c r="G9" s="10"/>
    </row>
    <row r="12" spans="2:7">
      <c r="B12" s="12" t="s">
        <v>18</v>
      </c>
      <c r="C12" s="12" t="s">
        <v>19</v>
      </c>
      <c r="D12" s="12" t="s">
        <v>20</v>
      </c>
      <c r="E12" s="12" t="s">
        <v>21</v>
      </c>
      <c r="F12" s="12" t="s">
        <v>22</v>
      </c>
      <c r="G12" s="12" t="s">
        <v>23</v>
      </c>
    </row>
    <row r="13" spans="2:7">
      <c r="B13" s="13" t="s">
        <v>24</v>
      </c>
      <c r="C13" s="13">
        <v>80</v>
      </c>
      <c r="D13" s="13">
        <v>75</v>
      </c>
      <c r="E13" s="13">
        <f>AVERAGE(C13:D13)</f>
        <v>77.5</v>
      </c>
      <c r="F13" s="71"/>
      <c r="G13" s="71"/>
    </row>
    <row r="14" spans="2:7">
      <c r="B14" s="13" t="s">
        <v>25</v>
      </c>
      <c r="C14" s="13">
        <v>75</v>
      </c>
      <c r="D14" s="13">
        <v>65</v>
      </c>
      <c r="E14" s="13">
        <f>AVERAGE(C14:D14)</f>
        <v>70</v>
      </c>
      <c r="F14" s="71"/>
      <c r="G14" s="71"/>
    </row>
    <row r="15" spans="2:7">
      <c r="B15" s="13" t="s">
        <v>26</v>
      </c>
      <c r="C15" s="13">
        <v>85</v>
      </c>
      <c r="D15" s="13">
        <v>80</v>
      </c>
      <c r="E15" s="13">
        <f>AVERAGE(C15:D15)</f>
        <v>82.5</v>
      </c>
      <c r="F15" s="71"/>
      <c r="G15" s="71"/>
    </row>
    <row r="16" spans="2:7">
      <c r="B16" s="13" t="s">
        <v>27</v>
      </c>
      <c r="C16" s="13">
        <v>70</v>
      </c>
      <c r="D16" s="13">
        <v>70</v>
      </c>
      <c r="E16" s="13">
        <f>AVERAGE(C16:D16)</f>
        <v>70</v>
      </c>
      <c r="F16" s="71"/>
      <c r="G16" s="71"/>
    </row>
    <row r="17" spans="2:7">
      <c r="B17" s="13" t="s">
        <v>28</v>
      </c>
      <c r="C17" s="13">
        <v>95</v>
      </c>
      <c r="D17" s="13">
        <v>60</v>
      </c>
      <c r="E17" s="13">
        <f>AVERAGE(C17:D17)</f>
        <v>77.5</v>
      </c>
      <c r="F17" s="71"/>
      <c r="G17" s="71"/>
    </row>
  </sheetData>
  <mergeCells count="1">
    <mergeCell ref="B1:G1"/>
  </mergeCells>
  <phoneticPr fontId="3" type="noConversion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C499D-A715-40F0-88C5-548C308995A5}">
  <dimension ref="B1:G38"/>
  <sheetViews>
    <sheetView workbookViewId="0">
      <selection activeCell="I27" sqref="I27"/>
    </sheetView>
  </sheetViews>
  <sheetFormatPr defaultRowHeight="16.5"/>
  <cols>
    <col min="1" max="1" width="3.5" style="11" customWidth="1"/>
    <col min="2" max="2" width="9" style="11"/>
    <col min="3" max="3" width="14.375" style="11" bestFit="1" customWidth="1"/>
    <col min="4" max="4" width="16" style="11" customWidth="1"/>
    <col min="5" max="5" width="10.25" style="11" bestFit="1" customWidth="1"/>
    <col min="6" max="6" width="14" style="11" customWidth="1"/>
    <col min="7" max="7" width="34.625" style="11" bestFit="1" customWidth="1"/>
    <col min="8" max="16384" width="9" style="11"/>
  </cols>
  <sheetData>
    <row r="1" spans="2:7" ht="18.75">
      <c r="B1" s="20" t="s">
        <v>190</v>
      </c>
      <c r="C1" s="20"/>
      <c r="D1" s="20"/>
      <c r="E1" s="20"/>
      <c r="F1" s="20"/>
    </row>
    <row r="3" spans="2:7" ht="21" customHeight="1">
      <c r="B3" s="12" t="s">
        <v>34</v>
      </c>
      <c r="C3" s="12" t="s">
        <v>35</v>
      </c>
      <c r="D3" s="12" t="s">
        <v>36</v>
      </c>
      <c r="E3" s="12" t="s">
        <v>37</v>
      </c>
      <c r="F3" s="12" t="s">
        <v>38</v>
      </c>
      <c r="G3" s="21" t="s">
        <v>39</v>
      </c>
    </row>
    <row r="4" spans="2:7" ht="16.5" customHeight="1">
      <c r="B4" s="10" t="s">
        <v>188</v>
      </c>
      <c r="C4" s="22">
        <v>45473</v>
      </c>
      <c r="D4" s="13">
        <v>6</v>
      </c>
      <c r="E4" s="23">
        <v>5000000</v>
      </c>
      <c r="F4" s="72"/>
      <c r="G4" s="70"/>
    </row>
    <row r="5" spans="2:7" ht="16.5" customHeight="1">
      <c r="B5" s="10" t="s">
        <v>26</v>
      </c>
      <c r="C5" s="22">
        <v>45436</v>
      </c>
      <c r="D5" s="13">
        <v>6</v>
      </c>
      <c r="E5" s="23">
        <v>12000000</v>
      </c>
      <c r="F5" s="72"/>
      <c r="G5" s="24"/>
    </row>
    <row r="6" spans="2:7" ht="16.5" customHeight="1">
      <c r="B6" s="10" t="s">
        <v>189</v>
      </c>
      <c r="C6" s="22">
        <v>45407</v>
      </c>
      <c r="D6" s="13">
        <v>12</v>
      </c>
      <c r="E6" s="23">
        <v>30000000</v>
      </c>
      <c r="F6" s="72"/>
      <c r="G6" s="24"/>
    </row>
    <row r="7" spans="2:7" ht="16.5" customHeight="1">
      <c r="B7" s="10" t="s">
        <v>40</v>
      </c>
      <c r="C7" s="22">
        <v>45316</v>
      </c>
      <c r="D7" s="13">
        <v>12</v>
      </c>
      <c r="E7" s="23">
        <v>20000000</v>
      </c>
      <c r="F7" s="72"/>
      <c r="G7" s="25" t="s">
        <v>36</v>
      </c>
    </row>
    <row r="8" spans="2:7" ht="16.5" customHeight="1">
      <c r="B8" s="10" t="s">
        <v>41</v>
      </c>
      <c r="C8" s="22">
        <v>45509</v>
      </c>
      <c r="D8" s="13">
        <v>3</v>
      </c>
      <c r="E8" s="23">
        <v>3000000</v>
      </c>
      <c r="F8" s="72"/>
      <c r="G8" s="26">
        <v>12</v>
      </c>
    </row>
    <row r="9" spans="2:7" ht="16.5" customHeight="1">
      <c r="B9" s="10" t="s">
        <v>42</v>
      </c>
      <c r="C9" s="22">
        <v>45388</v>
      </c>
      <c r="D9" s="13">
        <v>6</v>
      </c>
      <c r="E9" s="23">
        <v>10000000</v>
      </c>
      <c r="F9" s="72"/>
      <c r="G9" s="24"/>
    </row>
    <row r="10" spans="2:7" ht="16.5" customHeight="1">
      <c r="B10" s="10" t="s">
        <v>43</v>
      </c>
      <c r="C10" s="22">
        <v>45389</v>
      </c>
      <c r="D10" s="13">
        <v>12</v>
      </c>
      <c r="E10" s="23">
        <v>30000000</v>
      </c>
      <c r="F10" s="72"/>
    </row>
    <row r="11" spans="2:7" ht="16.5" customHeight="1">
      <c r="B11" s="10" t="s">
        <v>44</v>
      </c>
      <c r="C11" s="22">
        <v>45545</v>
      </c>
      <c r="D11" s="13">
        <v>3</v>
      </c>
      <c r="E11" s="23">
        <v>3000000</v>
      </c>
      <c r="F11" s="72"/>
    </row>
    <row r="12" spans="2:7" ht="16.5" customHeight="1">
      <c r="B12" s="10" t="s">
        <v>45</v>
      </c>
      <c r="C12" s="22">
        <v>45584</v>
      </c>
      <c r="D12" s="13">
        <v>3</v>
      </c>
      <c r="E12" s="23">
        <v>2000000</v>
      </c>
      <c r="F12" s="72"/>
    </row>
    <row r="13" spans="2:7">
      <c r="C13" s="8"/>
    </row>
    <row r="14" spans="2:7">
      <c r="C14" s="27" t="s">
        <v>46</v>
      </c>
      <c r="D14" s="27"/>
    </row>
    <row r="15" spans="2:7">
      <c r="C15" s="12" t="s">
        <v>36</v>
      </c>
      <c r="D15" s="12" t="s">
        <v>47</v>
      </c>
    </row>
    <row r="16" spans="2:7">
      <c r="C16" s="13">
        <v>3</v>
      </c>
      <c r="D16" s="28">
        <v>0.09</v>
      </c>
    </row>
    <row r="17" spans="2:7">
      <c r="C17" s="13">
        <v>6</v>
      </c>
      <c r="D17" s="28">
        <v>0.115</v>
      </c>
    </row>
    <row r="18" spans="2:7">
      <c r="C18" s="13">
        <v>12</v>
      </c>
      <c r="D18" s="28">
        <v>0.13</v>
      </c>
    </row>
    <row r="20" spans="2:7" ht="16.5" customHeight="1">
      <c r="B20" s="29" t="s">
        <v>48</v>
      </c>
      <c r="C20" s="29"/>
      <c r="D20" s="29"/>
      <c r="E20" s="29"/>
      <c r="F20" s="29"/>
      <c r="G20" s="29"/>
    </row>
    <row r="21" spans="2:7">
      <c r="B21" s="30" t="s">
        <v>49</v>
      </c>
      <c r="C21" s="30"/>
      <c r="D21" s="30"/>
      <c r="E21" s="30"/>
      <c r="F21" s="30"/>
      <c r="G21" s="30"/>
    </row>
    <row r="23" spans="2:7">
      <c r="B23" s="31" t="s">
        <v>80</v>
      </c>
      <c r="C23" s="32" t="s">
        <v>81</v>
      </c>
      <c r="D23" s="33"/>
      <c r="E23" s="33"/>
      <c r="F23" s="33"/>
      <c r="G23" s="33"/>
    </row>
    <row r="24" spans="2:7">
      <c r="B24" s="34" t="s">
        <v>82</v>
      </c>
      <c r="C24" s="34" t="s">
        <v>0</v>
      </c>
      <c r="D24" s="34" t="s">
        <v>83</v>
      </c>
      <c r="E24" s="34" t="s">
        <v>84</v>
      </c>
      <c r="F24" s="34" t="s">
        <v>85</v>
      </c>
      <c r="G24" s="67" t="s">
        <v>86</v>
      </c>
    </row>
    <row r="25" spans="2:7">
      <c r="B25" s="34" t="s">
        <v>90</v>
      </c>
      <c r="C25" s="34" t="s">
        <v>191</v>
      </c>
      <c r="D25" s="34">
        <v>0</v>
      </c>
      <c r="E25" s="34" t="s">
        <v>87</v>
      </c>
      <c r="F25" s="34">
        <v>2</v>
      </c>
      <c r="G25" s="67"/>
    </row>
    <row r="26" spans="2:7">
      <c r="B26" s="34" t="s">
        <v>91</v>
      </c>
      <c r="C26" s="34" t="s">
        <v>192</v>
      </c>
      <c r="D26" s="34">
        <v>10</v>
      </c>
      <c r="E26" s="34" t="s">
        <v>88</v>
      </c>
      <c r="F26" s="34">
        <v>14</v>
      </c>
      <c r="G26" s="67"/>
    </row>
    <row r="27" spans="2:7">
      <c r="B27" s="34" t="s">
        <v>92</v>
      </c>
      <c r="C27" s="34" t="s">
        <v>193</v>
      </c>
      <c r="D27" s="34">
        <v>6</v>
      </c>
      <c r="E27" s="34" t="s">
        <v>88</v>
      </c>
      <c r="F27" s="34">
        <v>0</v>
      </c>
      <c r="G27" s="67"/>
    </row>
    <row r="28" spans="2:7">
      <c r="B28" s="34" t="s">
        <v>90</v>
      </c>
      <c r="C28" s="34" t="s">
        <v>194</v>
      </c>
      <c r="D28" s="34">
        <v>4</v>
      </c>
      <c r="E28" s="34" t="s">
        <v>87</v>
      </c>
      <c r="F28" s="34">
        <v>1</v>
      </c>
      <c r="G28" s="67"/>
    </row>
    <row r="29" spans="2:7">
      <c r="B29" s="34" t="s">
        <v>91</v>
      </c>
      <c r="C29" s="34" t="s">
        <v>195</v>
      </c>
      <c r="D29" s="34">
        <v>5</v>
      </c>
      <c r="E29" s="34" t="s">
        <v>87</v>
      </c>
      <c r="F29" s="34">
        <v>8</v>
      </c>
      <c r="G29" s="67"/>
    </row>
    <row r="30" spans="2:7">
      <c r="B30" s="34" t="s">
        <v>92</v>
      </c>
      <c r="C30" s="34" t="s">
        <v>196</v>
      </c>
      <c r="D30" s="34">
        <v>1</v>
      </c>
      <c r="E30" s="34" t="s">
        <v>87</v>
      </c>
      <c r="F30" s="34">
        <v>4</v>
      </c>
      <c r="G30" s="67"/>
    </row>
    <row r="31" spans="2:7">
      <c r="B31" s="34" t="s">
        <v>90</v>
      </c>
      <c r="C31" s="34" t="s">
        <v>197</v>
      </c>
      <c r="D31" s="34">
        <v>2</v>
      </c>
      <c r="E31" s="34" t="s">
        <v>87</v>
      </c>
      <c r="F31" s="34">
        <v>12</v>
      </c>
      <c r="G31" s="67"/>
    </row>
    <row r="32" spans="2:7">
      <c r="B32" s="34" t="s">
        <v>91</v>
      </c>
      <c r="C32" s="34" t="s">
        <v>198</v>
      </c>
      <c r="D32" s="34">
        <v>5</v>
      </c>
      <c r="E32" s="34" t="s">
        <v>88</v>
      </c>
      <c r="F32" s="34">
        <v>6</v>
      </c>
      <c r="G32" s="67"/>
    </row>
    <row r="33" spans="2:7">
      <c r="B33" s="48"/>
      <c r="C33" s="33"/>
      <c r="D33" s="33"/>
      <c r="E33" s="33"/>
      <c r="F33" s="33"/>
      <c r="G33" s="33"/>
    </row>
    <row r="34" spans="2:7">
      <c r="B34" s="48" t="s">
        <v>89</v>
      </c>
      <c r="C34" s="33"/>
      <c r="D34" s="33"/>
      <c r="E34" s="33"/>
      <c r="F34" s="33"/>
      <c r="G34" s="33"/>
    </row>
    <row r="35" spans="2:7">
      <c r="B35" s="34" t="s">
        <v>85</v>
      </c>
      <c r="C35" s="34">
        <v>1</v>
      </c>
      <c r="D35" s="34">
        <v>4</v>
      </c>
      <c r="E35" s="34">
        <v>7</v>
      </c>
      <c r="F35" s="34">
        <v>11</v>
      </c>
      <c r="G35" s="34">
        <v>14</v>
      </c>
    </row>
    <row r="36" spans="2:7">
      <c r="B36" s="34" t="s">
        <v>86</v>
      </c>
      <c r="C36" s="34" t="s">
        <v>90</v>
      </c>
      <c r="D36" s="34" t="s">
        <v>91</v>
      </c>
      <c r="E36" s="34" t="s">
        <v>92</v>
      </c>
      <c r="F36" s="34" t="s">
        <v>93</v>
      </c>
      <c r="G36" s="34" t="s">
        <v>94</v>
      </c>
    </row>
    <row r="38" spans="2:7">
      <c r="B38" s="49" t="s">
        <v>95</v>
      </c>
      <c r="C38" s="49"/>
      <c r="D38" s="49"/>
      <c r="E38" s="49"/>
      <c r="F38" s="49"/>
      <c r="G38" s="49"/>
    </row>
  </sheetData>
  <mergeCells count="5">
    <mergeCell ref="B1:F1"/>
    <mergeCell ref="C14:D14"/>
    <mergeCell ref="B20:G20"/>
    <mergeCell ref="B21:G21"/>
    <mergeCell ref="B38:G38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86F38-C2DC-4F1D-A9BE-7DA6E3582067}">
  <dimension ref="A1:K29"/>
  <sheetViews>
    <sheetView workbookViewId="0">
      <selection activeCell="H18" sqref="H18"/>
    </sheetView>
  </sheetViews>
  <sheetFormatPr defaultRowHeight="16.5"/>
  <cols>
    <col min="1" max="2" width="9" style="11"/>
    <col min="3" max="4" width="13.75" style="11" bestFit="1" customWidth="1"/>
    <col min="5" max="10" width="9" style="11"/>
    <col min="11" max="11" width="20.875" style="11" customWidth="1"/>
    <col min="12" max="16384" width="9" style="11"/>
  </cols>
  <sheetData>
    <row r="1" spans="1:11" ht="17.25" thickBot="1">
      <c r="A1" s="31" t="s">
        <v>50</v>
      </c>
      <c r="B1" s="32" t="s">
        <v>51</v>
      </c>
      <c r="C1" s="33"/>
      <c r="D1" s="33"/>
      <c r="E1" s="33"/>
      <c r="G1" s="37"/>
      <c r="H1" s="38" t="s">
        <v>67</v>
      </c>
      <c r="I1" s="38"/>
      <c r="J1" s="38"/>
      <c r="K1" s="38"/>
    </row>
    <row r="2" spans="1:11">
      <c r="A2" s="34" t="s">
        <v>52</v>
      </c>
      <c r="B2" s="34" t="s">
        <v>53</v>
      </c>
      <c r="C2" s="34" t="s">
        <v>54</v>
      </c>
      <c r="D2" s="34" t="s">
        <v>55</v>
      </c>
      <c r="E2" s="35" t="s">
        <v>56</v>
      </c>
      <c r="G2" s="37"/>
      <c r="H2" s="39" t="s">
        <v>68</v>
      </c>
      <c r="I2" s="40" t="s">
        <v>69</v>
      </c>
      <c r="J2" s="40" t="s">
        <v>70</v>
      </c>
      <c r="K2" s="41" t="s">
        <v>96</v>
      </c>
    </row>
    <row r="3" spans="1:11">
      <c r="A3" s="34" t="s">
        <v>57</v>
      </c>
      <c r="B3" s="34">
        <v>98</v>
      </c>
      <c r="C3" s="34">
        <v>90</v>
      </c>
      <c r="D3" s="34">
        <f>SUM(B3:C3)</f>
        <v>188</v>
      </c>
      <c r="E3" s="67"/>
      <c r="G3" s="37"/>
      <c r="H3" s="42">
        <v>101203</v>
      </c>
      <c r="I3" s="5" t="s">
        <v>71</v>
      </c>
      <c r="J3" s="5">
        <v>87</v>
      </c>
      <c r="K3" s="73"/>
    </row>
    <row r="4" spans="1:11">
      <c r="A4" s="34" t="s">
        <v>58</v>
      </c>
      <c r="B4" s="34">
        <v>85</v>
      </c>
      <c r="C4" s="34">
        <v>88</v>
      </c>
      <c r="D4" s="34">
        <f t="shared" ref="D4:D12" si="0">SUM(B4:C4)</f>
        <v>173</v>
      </c>
      <c r="E4" s="67"/>
      <c r="G4" s="37"/>
      <c r="H4" s="42">
        <v>202321</v>
      </c>
      <c r="I4" s="5" t="s">
        <v>72</v>
      </c>
      <c r="J4" s="5">
        <v>73</v>
      </c>
      <c r="K4" s="73"/>
    </row>
    <row r="5" spans="1:11">
      <c r="A5" s="34" t="s">
        <v>59</v>
      </c>
      <c r="B5" s="34">
        <v>94</v>
      </c>
      <c r="C5" s="34">
        <v>81</v>
      </c>
      <c r="D5" s="34">
        <f t="shared" si="0"/>
        <v>175</v>
      </c>
      <c r="E5" s="67"/>
      <c r="G5" s="37"/>
      <c r="H5" s="42">
        <v>103452</v>
      </c>
      <c r="I5" s="5" t="s">
        <v>73</v>
      </c>
      <c r="J5" s="5">
        <v>66</v>
      </c>
      <c r="K5" s="73"/>
    </row>
    <row r="6" spans="1:11">
      <c r="A6" s="34" t="s">
        <v>60</v>
      </c>
      <c r="B6" s="34">
        <v>68</v>
      </c>
      <c r="C6" s="34">
        <v>91</v>
      </c>
      <c r="D6" s="34">
        <f t="shared" si="0"/>
        <v>159</v>
      </c>
      <c r="E6" s="67"/>
      <c r="G6" s="37"/>
      <c r="H6" s="42">
        <v>304201</v>
      </c>
      <c r="I6" s="5" t="s">
        <v>74</v>
      </c>
      <c r="J6" s="5">
        <v>99</v>
      </c>
      <c r="K6" s="73"/>
    </row>
    <row r="7" spans="1:11">
      <c r="A7" s="34" t="s">
        <v>61</v>
      </c>
      <c r="B7" s="34">
        <v>77</v>
      </c>
      <c r="C7" s="34">
        <v>90</v>
      </c>
      <c r="D7" s="34">
        <f t="shared" si="0"/>
        <v>167</v>
      </c>
      <c r="E7" s="67"/>
      <c r="G7" s="37"/>
      <c r="H7" s="42">
        <v>205221</v>
      </c>
      <c r="I7" s="5" t="s">
        <v>75</v>
      </c>
      <c r="J7" s="5">
        <v>33</v>
      </c>
      <c r="K7" s="73"/>
    </row>
    <row r="8" spans="1:11">
      <c r="A8" s="34" t="s">
        <v>62</v>
      </c>
      <c r="B8" s="34">
        <v>86</v>
      </c>
      <c r="C8" s="34">
        <v>93</v>
      </c>
      <c r="D8" s="34">
        <f t="shared" si="0"/>
        <v>179</v>
      </c>
      <c r="E8" s="67"/>
      <c r="G8" s="37"/>
      <c r="H8" s="42">
        <v>406534</v>
      </c>
      <c r="I8" s="5" t="s">
        <v>76</v>
      </c>
      <c r="J8" s="5">
        <v>63</v>
      </c>
      <c r="K8" s="73"/>
    </row>
    <row r="9" spans="1:11">
      <c r="A9" s="34" t="s">
        <v>63</v>
      </c>
      <c r="B9" s="34">
        <v>91</v>
      </c>
      <c r="C9" s="34">
        <v>90</v>
      </c>
      <c r="D9" s="34">
        <f t="shared" si="0"/>
        <v>181</v>
      </c>
      <c r="E9" s="67"/>
      <c r="G9" s="37"/>
      <c r="H9" s="42">
        <v>407308</v>
      </c>
      <c r="I9" s="5" t="s">
        <v>77</v>
      </c>
      <c r="J9" s="5">
        <v>93</v>
      </c>
      <c r="K9" s="73"/>
    </row>
    <row r="10" spans="1:11" ht="17.25" thickBot="1">
      <c r="A10" s="34" t="s">
        <v>64</v>
      </c>
      <c r="B10" s="34">
        <v>80</v>
      </c>
      <c r="C10" s="34">
        <v>87</v>
      </c>
      <c r="D10" s="34">
        <f t="shared" si="0"/>
        <v>167</v>
      </c>
      <c r="E10" s="67"/>
      <c r="G10" s="37"/>
      <c r="H10" s="43">
        <v>308556</v>
      </c>
      <c r="I10" s="44" t="s">
        <v>78</v>
      </c>
      <c r="J10" s="44">
        <v>98</v>
      </c>
      <c r="K10" s="73"/>
    </row>
    <row r="11" spans="1:11">
      <c r="A11" s="34" t="s">
        <v>65</v>
      </c>
      <c r="B11" s="34">
        <v>76</v>
      </c>
      <c r="C11" s="34">
        <v>89</v>
      </c>
      <c r="D11" s="34">
        <f t="shared" si="0"/>
        <v>165</v>
      </c>
      <c r="E11" s="67"/>
      <c r="G11" s="37"/>
      <c r="H11" s="45"/>
      <c r="I11" s="45"/>
      <c r="J11" s="45"/>
      <c r="K11" s="46"/>
    </row>
    <row r="12" spans="1:11" ht="17.25" customHeight="1">
      <c r="A12" s="34" t="s">
        <v>66</v>
      </c>
      <c r="B12" s="34">
        <v>87</v>
      </c>
      <c r="C12" s="34">
        <v>89</v>
      </c>
      <c r="D12" s="34">
        <f t="shared" si="0"/>
        <v>176</v>
      </c>
      <c r="E12" s="67"/>
      <c r="G12" s="37"/>
      <c r="H12" s="47" t="s">
        <v>79</v>
      </c>
      <c r="I12" s="47"/>
      <c r="J12" s="47"/>
      <c r="K12" s="69"/>
    </row>
    <row r="13" spans="1:11">
      <c r="G13" s="37"/>
      <c r="H13" s="47"/>
      <c r="I13" s="47"/>
      <c r="J13" s="47"/>
      <c r="K13" s="69"/>
    </row>
    <row r="14" spans="1:11">
      <c r="A14" s="36" t="s">
        <v>199</v>
      </c>
      <c r="B14" s="36"/>
      <c r="C14" s="36"/>
      <c r="D14" s="36"/>
      <c r="E14" s="36"/>
      <c r="G14" s="37"/>
    </row>
    <row r="15" spans="1:11">
      <c r="A15" s="36"/>
      <c r="B15" s="36"/>
      <c r="C15" s="36"/>
      <c r="D15" s="36"/>
      <c r="E15" s="36"/>
    </row>
    <row r="18" spans="1:4">
      <c r="A18" s="50" t="s">
        <v>97</v>
      </c>
      <c r="B18" s="50" t="s">
        <v>98</v>
      </c>
      <c r="C18" s="50" t="s">
        <v>99</v>
      </c>
      <c r="D18" s="50" t="s">
        <v>100</v>
      </c>
    </row>
    <row r="19" spans="1:4">
      <c r="A19" s="50" t="s">
        <v>101</v>
      </c>
      <c r="B19" s="50" t="s">
        <v>102</v>
      </c>
      <c r="C19" s="50">
        <v>72</v>
      </c>
      <c r="D19" s="50">
        <v>88</v>
      </c>
    </row>
    <row r="20" spans="1:4">
      <c r="A20" s="50" t="s">
        <v>103</v>
      </c>
      <c r="B20" s="50" t="s">
        <v>104</v>
      </c>
      <c r="C20" s="50">
        <v>82</v>
      </c>
      <c r="D20" s="50">
        <v>70</v>
      </c>
    </row>
    <row r="21" spans="1:4">
      <c r="A21" s="50" t="s">
        <v>105</v>
      </c>
      <c r="B21" s="50" t="s">
        <v>106</v>
      </c>
      <c r="C21" s="50">
        <v>98</v>
      </c>
      <c r="D21" s="50">
        <v>80</v>
      </c>
    </row>
    <row r="22" spans="1:4">
      <c r="A22" s="50" t="s">
        <v>107</v>
      </c>
      <c r="B22" s="50" t="s">
        <v>104</v>
      </c>
      <c r="C22" s="50">
        <v>76</v>
      </c>
      <c r="D22" s="50">
        <v>94</v>
      </c>
    </row>
    <row r="23" spans="1:4">
      <c r="A23" s="50" t="s">
        <v>108</v>
      </c>
      <c r="B23" s="50" t="s">
        <v>102</v>
      </c>
      <c r="C23" s="50">
        <v>68</v>
      </c>
      <c r="D23" s="50">
        <v>74</v>
      </c>
    </row>
    <row r="24" spans="1:4">
      <c r="A24" s="50" t="s">
        <v>109</v>
      </c>
      <c r="B24" s="50" t="s">
        <v>102</v>
      </c>
      <c r="C24" s="50">
        <v>84</v>
      </c>
      <c r="D24" s="50">
        <v>90</v>
      </c>
    </row>
    <row r="25" spans="1:4">
      <c r="A25" s="50" t="s">
        <v>110</v>
      </c>
      <c r="B25" s="50" t="s">
        <v>104</v>
      </c>
      <c r="C25" s="50">
        <v>58</v>
      </c>
      <c r="D25" s="50">
        <v>64</v>
      </c>
    </row>
    <row r="26" spans="1:4">
      <c r="A26" s="50" t="s">
        <v>111</v>
      </c>
      <c r="B26" s="50" t="s">
        <v>102</v>
      </c>
      <c r="C26" s="50">
        <v>78</v>
      </c>
      <c r="D26" s="50">
        <v>82</v>
      </c>
    </row>
    <row r="27" spans="1:4">
      <c r="A27" s="51"/>
      <c r="B27" s="51"/>
      <c r="C27" s="51"/>
      <c r="D27" s="51"/>
    </row>
    <row r="28" spans="1:4">
      <c r="A28" s="50" t="s">
        <v>100</v>
      </c>
      <c r="B28" s="50" t="s">
        <v>112</v>
      </c>
      <c r="C28" s="50" t="s">
        <v>113</v>
      </c>
      <c r="D28" s="50" t="s">
        <v>114</v>
      </c>
    </row>
    <row r="29" spans="1:4">
      <c r="A29" s="50" t="s">
        <v>200</v>
      </c>
      <c r="B29" s="68"/>
      <c r="C29" s="68"/>
      <c r="D29" s="68"/>
    </row>
  </sheetData>
  <mergeCells count="4">
    <mergeCell ref="A14:E15"/>
    <mergeCell ref="H1:K1"/>
    <mergeCell ref="H12:J13"/>
    <mergeCell ref="K12:K13"/>
  </mergeCells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6112A-DDC8-4D86-9033-A0FCA6F4071C}">
  <dimension ref="A1:L34"/>
  <sheetViews>
    <sheetView tabSelected="1" topLeftCell="A22" workbookViewId="0">
      <selection activeCell="H30" sqref="H30"/>
    </sheetView>
  </sheetViews>
  <sheetFormatPr defaultRowHeight="16.5"/>
  <cols>
    <col min="1" max="1" width="9" style="11"/>
    <col min="2" max="2" width="11.25" style="11" customWidth="1"/>
    <col min="3" max="3" width="9" style="11"/>
    <col min="4" max="4" width="11.5" style="11" bestFit="1" customWidth="1"/>
    <col min="5" max="9" width="9" style="11"/>
    <col min="10" max="10" width="9.125" style="11" bestFit="1" customWidth="1"/>
    <col min="11" max="11" width="9" style="11"/>
    <col min="12" max="12" width="9.375" style="11" bestFit="1" customWidth="1"/>
    <col min="13" max="13" width="9" style="11"/>
    <col min="14" max="14" width="9.875" style="11" bestFit="1" customWidth="1"/>
    <col min="15" max="16384" width="9" style="11"/>
  </cols>
  <sheetData>
    <row r="1" spans="1:12">
      <c r="A1" s="3" t="s">
        <v>115</v>
      </c>
      <c r="B1" s="52"/>
      <c r="F1" s="53" t="s">
        <v>116</v>
      </c>
      <c r="G1" s="52"/>
    </row>
    <row r="2" spans="1:12">
      <c r="A2" s="1" t="s">
        <v>146</v>
      </c>
      <c r="B2" s="1" t="s">
        <v>117</v>
      </c>
      <c r="C2" s="1" t="s">
        <v>118</v>
      </c>
      <c r="D2" s="1" t="s">
        <v>148</v>
      </c>
      <c r="F2" s="1" t="s">
        <v>119</v>
      </c>
      <c r="G2" s="1" t="s">
        <v>120</v>
      </c>
      <c r="H2" s="1" t="s">
        <v>121</v>
      </c>
      <c r="I2" s="1" t="s">
        <v>122</v>
      </c>
      <c r="J2" s="1" t="s">
        <v>201</v>
      </c>
    </row>
    <row r="3" spans="1:12">
      <c r="A3" s="1">
        <v>1</v>
      </c>
      <c r="B3" s="1" t="s">
        <v>168</v>
      </c>
      <c r="C3" s="1" t="s">
        <v>123</v>
      </c>
      <c r="D3" s="1">
        <v>95</v>
      </c>
      <c r="F3" s="1" t="s">
        <v>149</v>
      </c>
      <c r="G3" s="1" t="s">
        <v>156</v>
      </c>
      <c r="H3" s="2">
        <v>50679</v>
      </c>
      <c r="I3" s="2">
        <v>47638</v>
      </c>
      <c r="J3" s="2">
        <f>SUM(H3:I3)</f>
        <v>98317</v>
      </c>
      <c r="L3"/>
    </row>
    <row r="4" spans="1:12">
      <c r="A4" s="1">
        <v>2</v>
      </c>
      <c r="B4" s="1" t="s">
        <v>169</v>
      </c>
      <c r="C4" s="1" t="s">
        <v>127</v>
      </c>
      <c r="D4" s="1">
        <v>82</v>
      </c>
      <c r="F4" s="1" t="s">
        <v>150</v>
      </c>
      <c r="G4" s="1" t="s">
        <v>126</v>
      </c>
      <c r="H4" s="2">
        <v>49660</v>
      </c>
      <c r="I4" s="2">
        <v>53170</v>
      </c>
      <c r="J4" s="2">
        <f t="shared" ref="J4:J10" si="0">SUM(H4:I4)</f>
        <v>102830</v>
      </c>
      <c r="L4"/>
    </row>
    <row r="5" spans="1:12">
      <c r="A5" s="1">
        <v>3</v>
      </c>
      <c r="B5" s="1" t="s">
        <v>170</v>
      </c>
      <c r="C5" s="1" t="s">
        <v>147</v>
      </c>
      <c r="D5" s="1">
        <v>79</v>
      </c>
      <c r="F5" s="1" t="s">
        <v>151</v>
      </c>
      <c r="G5" s="1" t="s">
        <v>128</v>
      </c>
      <c r="H5" s="2">
        <v>38517</v>
      </c>
      <c r="I5" s="2">
        <v>36206</v>
      </c>
      <c r="J5" s="2">
        <f t="shared" si="0"/>
        <v>74723</v>
      </c>
      <c r="L5"/>
    </row>
    <row r="6" spans="1:12">
      <c r="A6" s="1">
        <v>4</v>
      </c>
      <c r="B6" s="1" t="s">
        <v>171</v>
      </c>
      <c r="C6" s="1" t="s">
        <v>123</v>
      </c>
      <c r="D6" s="1">
        <v>69</v>
      </c>
      <c r="F6" s="1" t="s">
        <v>152</v>
      </c>
      <c r="G6" s="1" t="s">
        <v>156</v>
      </c>
      <c r="H6" s="2">
        <v>50679</v>
      </c>
      <c r="I6" s="2">
        <v>47638</v>
      </c>
      <c r="J6" s="2">
        <f t="shared" si="0"/>
        <v>98317</v>
      </c>
    </row>
    <row r="7" spans="1:12">
      <c r="A7" s="1">
        <v>5</v>
      </c>
      <c r="B7" s="1" t="s">
        <v>172</v>
      </c>
      <c r="C7" s="1" t="s">
        <v>127</v>
      </c>
      <c r="D7" s="1">
        <v>79</v>
      </c>
      <c r="F7" s="1" t="s">
        <v>124</v>
      </c>
      <c r="G7" s="1" t="s">
        <v>126</v>
      </c>
      <c r="H7" s="2">
        <v>49660</v>
      </c>
      <c r="I7" s="2">
        <v>53170</v>
      </c>
      <c r="J7" s="2">
        <f t="shared" si="0"/>
        <v>102830</v>
      </c>
    </row>
    <row r="8" spans="1:12">
      <c r="A8" s="1">
        <v>6</v>
      </c>
      <c r="B8" s="1" t="s">
        <v>173</v>
      </c>
      <c r="C8" s="1" t="s">
        <v>129</v>
      </c>
      <c r="D8" s="1">
        <v>69</v>
      </c>
      <c r="F8" s="1" t="s">
        <v>153</v>
      </c>
      <c r="G8" s="1" t="s">
        <v>128</v>
      </c>
      <c r="H8" s="2">
        <v>50679</v>
      </c>
      <c r="I8" s="2">
        <v>47638</v>
      </c>
      <c r="J8" s="2">
        <f t="shared" si="0"/>
        <v>98317</v>
      </c>
    </row>
    <row r="9" spans="1:12">
      <c r="A9" s="1">
        <v>7</v>
      </c>
      <c r="B9" s="1" t="s">
        <v>174</v>
      </c>
      <c r="C9" s="1" t="s">
        <v>125</v>
      </c>
      <c r="D9" s="1">
        <v>95</v>
      </c>
      <c r="F9" s="1" t="s">
        <v>154</v>
      </c>
      <c r="G9" s="1" t="s">
        <v>156</v>
      </c>
      <c r="H9" s="2">
        <v>49660</v>
      </c>
      <c r="I9" s="2">
        <v>53170</v>
      </c>
      <c r="J9" s="2">
        <f t="shared" si="0"/>
        <v>102830</v>
      </c>
    </row>
    <row r="10" spans="1:12">
      <c r="A10" s="55" t="s">
        <v>130</v>
      </c>
      <c r="B10" s="55"/>
      <c r="C10" s="55"/>
      <c r="D10" s="64"/>
      <c r="F10" s="1" t="s">
        <v>131</v>
      </c>
      <c r="G10" s="1" t="s">
        <v>126</v>
      </c>
      <c r="H10" s="2">
        <v>62248</v>
      </c>
      <c r="I10" s="2">
        <v>69095</v>
      </c>
      <c r="J10" s="2">
        <f t="shared" si="0"/>
        <v>131343</v>
      </c>
    </row>
    <row r="12" spans="1:12">
      <c r="A12" s="53" t="s">
        <v>132</v>
      </c>
      <c r="B12" s="52"/>
      <c r="D12" s="54" t="s">
        <v>133</v>
      </c>
      <c r="G12" s="1" t="s">
        <v>120</v>
      </c>
      <c r="H12" s="55" t="s">
        <v>155</v>
      </c>
      <c r="I12" s="55"/>
      <c r="J12" s="55"/>
    </row>
    <row r="13" spans="1:12">
      <c r="A13" s="1" t="s">
        <v>157</v>
      </c>
      <c r="B13" s="1" t="s">
        <v>134</v>
      </c>
      <c r="C13" s="1" t="s">
        <v>135</v>
      </c>
      <c r="D13" s="56" t="s">
        <v>136</v>
      </c>
      <c r="G13" s="1" t="s">
        <v>156</v>
      </c>
      <c r="H13" s="65"/>
      <c r="I13" s="65"/>
      <c r="J13" s="65"/>
    </row>
    <row r="14" spans="1:12">
      <c r="A14" s="1" t="s">
        <v>158</v>
      </c>
      <c r="B14" s="1" t="s">
        <v>163</v>
      </c>
      <c r="C14" s="2">
        <v>3500</v>
      </c>
      <c r="D14" s="74"/>
    </row>
    <row r="15" spans="1:12">
      <c r="A15" s="1" t="s">
        <v>159</v>
      </c>
      <c r="B15" s="1" t="s">
        <v>164</v>
      </c>
      <c r="C15" s="2">
        <v>18150</v>
      </c>
      <c r="D15" s="74"/>
    </row>
    <row r="16" spans="1:12">
      <c r="A16" s="1" t="s">
        <v>160</v>
      </c>
      <c r="B16" s="1" t="s">
        <v>165</v>
      </c>
      <c r="C16" s="2">
        <v>475</v>
      </c>
      <c r="D16" s="74"/>
    </row>
    <row r="17" spans="1:9">
      <c r="A17" s="1" t="s">
        <v>161</v>
      </c>
      <c r="B17" s="1" t="s">
        <v>166</v>
      </c>
      <c r="C17" s="2">
        <v>6834</v>
      </c>
      <c r="D17" s="74"/>
      <c r="F17" s="53" t="s">
        <v>137</v>
      </c>
      <c r="G17" s="52"/>
      <c r="I17" s="54"/>
    </row>
    <row r="18" spans="1:9">
      <c r="A18" s="1" t="s">
        <v>158</v>
      </c>
      <c r="B18" s="1" t="s">
        <v>167</v>
      </c>
      <c r="C18" s="2">
        <v>1622</v>
      </c>
      <c r="D18" s="74"/>
      <c r="F18" s="1" t="s">
        <v>146</v>
      </c>
      <c r="G18" s="1" t="s">
        <v>117</v>
      </c>
      <c r="H18" s="1" t="s">
        <v>148</v>
      </c>
      <c r="I18" s="56" t="s">
        <v>138</v>
      </c>
    </row>
    <row r="19" spans="1:9">
      <c r="F19" s="1">
        <v>123001</v>
      </c>
      <c r="G19" s="1" t="s">
        <v>145</v>
      </c>
      <c r="H19" s="57">
        <v>215</v>
      </c>
      <c r="I19" s="66"/>
    </row>
    <row r="20" spans="1:9">
      <c r="A20" s="58" t="s">
        <v>139</v>
      </c>
      <c r="B20" s="58"/>
      <c r="F20" s="1">
        <v>123002</v>
      </c>
      <c r="G20" s="1" t="s">
        <v>175</v>
      </c>
      <c r="H20" s="57">
        <v>220</v>
      </c>
      <c r="I20" s="66"/>
    </row>
    <row r="21" spans="1:9">
      <c r="A21" s="1" t="s">
        <v>157</v>
      </c>
      <c r="B21" s="1" t="s">
        <v>140</v>
      </c>
      <c r="F21" s="1">
        <v>123003</v>
      </c>
      <c r="G21" s="1" t="s">
        <v>176</v>
      </c>
      <c r="H21" s="57">
        <v>214</v>
      </c>
      <c r="I21" s="66"/>
    </row>
    <row r="22" spans="1:9">
      <c r="A22" s="1" t="s">
        <v>158</v>
      </c>
      <c r="B22" s="59">
        <v>2.5000000000000001E-2</v>
      </c>
      <c r="F22" s="1">
        <v>123004</v>
      </c>
      <c r="G22" s="1" t="s">
        <v>177</v>
      </c>
      <c r="H22" s="57">
        <v>225</v>
      </c>
      <c r="I22" s="66"/>
    </row>
    <row r="23" spans="1:9">
      <c r="A23" s="1" t="s">
        <v>159</v>
      </c>
      <c r="B23" s="59">
        <v>2.7E-2</v>
      </c>
      <c r="E23" s="60"/>
      <c r="F23" s="1">
        <v>123005</v>
      </c>
      <c r="G23" s="1" t="s">
        <v>178</v>
      </c>
      <c r="H23" s="57">
        <v>210</v>
      </c>
      <c r="I23" s="66"/>
    </row>
    <row r="24" spans="1:9">
      <c r="A24" s="1" t="s">
        <v>160</v>
      </c>
      <c r="B24" s="61">
        <v>0.03</v>
      </c>
      <c r="E24" s="62"/>
      <c r="F24" s="1">
        <v>123006</v>
      </c>
      <c r="G24" s="1" t="s">
        <v>179</v>
      </c>
      <c r="H24" s="57">
        <v>218</v>
      </c>
      <c r="I24" s="66"/>
    </row>
    <row r="25" spans="1:9">
      <c r="A25" s="1" t="s">
        <v>161</v>
      </c>
      <c r="B25" s="59">
        <v>3.2500000000000001E-2</v>
      </c>
      <c r="E25" s="60"/>
      <c r="F25" s="1">
        <v>123007</v>
      </c>
      <c r="G25" s="1" t="s">
        <v>180</v>
      </c>
      <c r="H25" s="57">
        <v>224</v>
      </c>
      <c r="I25" s="66"/>
    </row>
    <row r="26" spans="1:9">
      <c r="A26" s="1" t="s">
        <v>162</v>
      </c>
      <c r="B26" s="59">
        <v>4.2500000000000003E-2</v>
      </c>
      <c r="F26" s="1">
        <v>123008</v>
      </c>
      <c r="G26" s="1" t="s">
        <v>181</v>
      </c>
      <c r="H26" s="57">
        <v>217</v>
      </c>
      <c r="I26" s="66"/>
    </row>
    <row r="28" spans="1:9">
      <c r="A28" s="53" t="s">
        <v>141</v>
      </c>
      <c r="B28" s="52"/>
    </row>
    <row r="29" spans="1:9">
      <c r="A29" s="1" t="s">
        <v>142</v>
      </c>
      <c r="B29" s="1" t="s">
        <v>185</v>
      </c>
    </row>
    <row r="30" spans="1:9">
      <c r="A30" s="1" t="s">
        <v>183</v>
      </c>
      <c r="B30" s="63">
        <v>1442.16</v>
      </c>
    </row>
    <row r="31" spans="1:9">
      <c r="A31" s="1" t="s">
        <v>143</v>
      </c>
      <c r="B31" s="63">
        <v>1332.5</v>
      </c>
    </row>
    <row r="32" spans="1:9">
      <c r="A32" s="1" t="s">
        <v>144</v>
      </c>
      <c r="B32" s="63">
        <v>184.83</v>
      </c>
    </row>
    <row r="33" spans="1:4">
      <c r="A33" s="1" t="s">
        <v>182</v>
      </c>
      <c r="B33" s="63">
        <v>43.12</v>
      </c>
      <c r="D33" s="1" t="s">
        <v>185</v>
      </c>
    </row>
    <row r="34" spans="1:4">
      <c r="A34" s="1" t="s">
        <v>184</v>
      </c>
      <c r="B34" s="63">
        <v>170.3</v>
      </c>
      <c r="C34" s="1" t="s">
        <v>143</v>
      </c>
      <c r="D34" s="64"/>
    </row>
  </sheetData>
  <mergeCells count="4">
    <mergeCell ref="A10:C10"/>
    <mergeCell ref="H12:J12"/>
    <mergeCell ref="H13:J13"/>
    <mergeCell ref="A20:B20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1</vt:lpstr>
      <vt:lpstr>2</vt:lpstr>
      <vt:lpstr>3</vt:lpstr>
      <vt:lpstr>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김영주</dc:creator>
  <cp:lastModifiedBy>문혜영</cp:lastModifiedBy>
  <dcterms:created xsi:type="dcterms:W3CDTF">2013-09-28T09:12:01Z</dcterms:created>
  <dcterms:modified xsi:type="dcterms:W3CDTF">2024-02-26T02:30:32Z</dcterms:modified>
</cp:coreProperties>
</file>