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C5" i="2"/>
  <c r="C6" i="2"/>
  <c r="C7" i="2"/>
  <c r="C3" i="2"/>
  <c r="E4" i="1"/>
  <c r="E5" i="1"/>
  <c r="E6" i="1"/>
  <c r="E7" i="1"/>
  <c r="E3" i="1"/>
</calcChain>
</file>

<file path=xl/sharedStrings.xml><?xml version="1.0" encoding="utf-8"?>
<sst xmlns="http://schemas.openxmlformats.org/spreadsheetml/2006/main" count="38" uniqueCount="33">
  <si>
    <t>급여 지급</t>
  </si>
  <si>
    <t>성명</t>
  </si>
  <si>
    <t>직급</t>
  </si>
  <si>
    <t>호봉</t>
  </si>
  <si>
    <t>급여</t>
  </si>
  <si>
    <t>김신락</t>
  </si>
  <si>
    <t>홍길동</t>
  </si>
  <si>
    <t>김천만</t>
  </si>
  <si>
    <t>신선해</t>
  </si>
  <si>
    <t>막막해</t>
  </si>
  <si>
    <t>급여 기준표</t>
  </si>
  <si>
    <t xml:space="preserve"> 구분 </t>
  </si>
  <si>
    <t xml:space="preserve"> 1호봉 </t>
  </si>
  <si>
    <t xml:space="preserve"> 2호봉 </t>
  </si>
  <si>
    <t xml:space="preserve"> 3호봉 </t>
  </si>
  <si>
    <t xml:space="preserve"> 1급 </t>
  </si>
  <si>
    <t xml:space="preserve"> 2급 </t>
  </si>
  <si>
    <t xml:space="preserve"> 3급 </t>
  </si>
  <si>
    <t xml:space="preserve"> 4급 </t>
  </si>
  <si>
    <t xml:space="preserve"> 5급 </t>
  </si>
  <si>
    <t>매장번호</t>
  </si>
  <si>
    <t>매장구분</t>
  </si>
  <si>
    <t>갤러리아</t>
  </si>
  <si>
    <t>롯데잠실</t>
  </si>
  <si>
    <t>명동 신세계</t>
  </si>
  <si>
    <t>[참조1]</t>
  </si>
  <si>
    <t>[참조2]</t>
  </si>
  <si>
    <t>구분코드</t>
  </si>
  <si>
    <t>백화점</t>
  </si>
  <si>
    <t>마트직영점</t>
  </si>
  <si>
    <t>쇼핑몰</t>
  </si>
  <si>
    <t>대리점</t>
  </si>
  <si>
    <t>매장명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</si>
</sst>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41" fontId="0" fillId="0" borderId="7" xfId="1" applyFont="1" applyBorder="1" applyAlignment="1">
      <alignment vertical="center"/>
    </xf>
    <xf numFmtId="41" fontId="0" fillId="0" borderId="9" xfId="1" applyFont="1" applyBorder="1" applyAlignment="1">
      <alignment vertical="center"/>
    </xf>
    <xf numFmtId="41" fontId="0" fillId="0" borderId="10" xfId="1" applyFont="1" applyBorder="1" applyAlignment="1">
      <alignment vertical="center"/>
    </xf>
    <xf numFmtId="0" fontId="0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1" fontId="4" fillId="0" borderId="1" xfId="1" applyFont="1" applyBorder="1" applyAlignment="1">
      <alignment vertical="center"/>
    </xf>
    <xf numFmtId="0" fontId="4" fillId="0" borderId="11" xfId="0" applyFont="1" applyBorder="1" applyAlignment="1">
      <alignment horizontal="centerContinuous" vertical="center"/>
    </xf>
    <xf numFmtId="0" fontId="4" fillId="0" borderId="12" xfId="0" applyFont="1" applyBorder="1" applyAlignment="1">
      <alignment horizontal="centerContinuous" vertical="center"/>
    </xf>
    <xf numFmtId="0" fontId="4" fillId="0" borderId="1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12" xfId="0" applyFont="1" applyBorder="1">
      <alignment vertical="center"/>
    </xf>
    <xf numFmtId="0" fontId="0" fillId="0" borderId="0" xfId="0" applyFont="1">
      <alignment vertical="center"/>
    </xf>
    <xf numFmtId="0" fontId="4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5"/>
  <sheetViews>
    <sheetView tabSelected="1" workbookViewId="0"/>
  </sheetViews>
  <sheetFormatPr defaultRowHeight="17" x14ac:dyDescent="0.45"/>
  <cols>
    <col min="1" max="1" width="2.25" customWidth="1"/>
    <col min="2" max="2" width="9" customWidth="1"/>
    <col min="3" max="5" width="9.33203125" customWidth="1"/>
  </cols>
  <sheetData>
    <row r="1" spans="2:5" x14ac:dyDescent="0.45">
      <c r="B1" s="23" t="s">
        <v>0</v>
      </c>
      <c r="C1" s="23"/>
      <c r="D1" s="23"/>
      <c r="E1" s="23"/>
    </row>
    <row r="2" spans="2:5" x14ac:dyDescent="0.45">
      <c r="B2" s="10" t="s">
        <v>1</v>
      </c>
      <c r="C2" s="10" t="s">
        <v>2</v>
      </c>
      <c r="D2" s="10" t="s">
        <v>3</v>
      </c>
      <c r="E2" s="11" t="s">
        <v>4</v>
      </c>
    </row>
    <row r="3" spans="2:5" x14ac:dyDescent="0.45">
      <c r="B3" s="10" t="s">
        <v>5</v>
      </c>
      <c r="C3" s="10">
        <v>2</v>
      </c>
      <c r="D3" s="21">
        <v>2</v>
      </c>
      <c r="E3" s="12">
        <f>INDEX($C$11:$E$15,C3,D3)</f>
        <v>620000</v>
      </c>
    </row>
    <row r="4" spans="2:5" x14ac:dyDescent="0.45">
      <c r="B4" s="10" t="s">
        <v>6</v>
      </c>
      <c r="C4" s="10">
        <v>3</v>
      </c>
      <c r="D4" s="21">
        <v>3</v>
      </c>
      <c r="E4" s="12">
        <f t="shared" ref="E4:E7" si="0">INDEX($C$11:$E$15,C4,D4)</f>
        <v>750000</v>
      </c>
    </row>
    <row r="5" spans="2:5" x14ac:dyDescent="0.45">
      <c r="B5" s="10" t="s">
        <v>7</v>
      </c>
      <c r="C5" s="10">
        <v>4</v>
      </c>
      <c r="D5" s="21">
        <v>3</v>
      </c>
      <c r="E5" s="12">
        <f t="shared" si="0"/>
        <v>850000</v>
      </c>
    </row>
    <row r="6" spans="2:5" x14ac:dyDescent="0.45">
      <c r="B6" s="10" t="s">
        <v>8</v>
      </c>
      <c r="C6" s="10">
        <v>1</v>
      </c>
      <c r="D6" s="21">
        <v>3</v>
      </c>
      <c r="E6" s="12">
        <f t="shared" si="0"/>
        <v>550000</v>
      </c>
    </row>
    <row r="7" spans="2:5" x14ac:dyDescent="0.45">
      <c r="B7" s="10" t="s">
        <v>9</v>
      </c>
      <c r="C7" s="10">
        <v>5</v>
      </c>
      <c r="D7" s="21">
        <v>2</v>
      </c>
      <c r="E7" s="12">
        <f t="shared" si="0"/>
        <v>920000</v>
      </c>
    </row>
    <row r="9" spans="2:5" ht="17.5" thickBot="1" x14ac:dyDescent="0.5">
      <c r="B9" s="22" t="s">
        <v>10</v>
      </c>
      <c r="C9" s="22"/>
      <c r="D9" s="22"/>
      <c r="E9" s="22"/>
    </row>
    <row r="10" spans="2:5" x14ac:dyDescent="0.45">
      <c r="B10" s="1" t="s">
        <v>11</v>
      </c>
      <c r="C10" s="2" t="s">
        <v>12</v>
      </c>
      <c r="D10" s="2" t="s">
        <v>13</v>
      </c>
      <c r="E10" s="3" t="s">
        <v>14</v>
      </c>
    </row>
    <row r="11" spans="2:5" x14ac:dyDescent="0.45">
      <c r="B11" s="4" t="s">
        <v>15</v>
      </c>
      <c r="C11" s="6">
        <v>500000</v>
      </c>
      <c r="D11" s="6">
        <v>520000</v>
      </c>
      <c r="E11" s="7">
        <v>550000</v>
      </c>
    </row>
    <row r="12" spans="2:5" x14ac:dyDescent="0.45">
      <c r="B12" s="4" t="s">
        <v>16</v>
      </c>
      <c r="C12" s="6">
        <v>600000</v>
      </c>
      <c r="D12" s="6">
        <v>620000</v>
      </c>
      <c r="E12" s="7">
        <v>650000</v>
      </c>
    </row>
    <row r="13" spans="2:5" x14ac:dyDescent="0.45">
      <c r="B13" s="4" t="s">
        <v>17</v>
      </c>
      <c r="C13" s="6">
        <v>700000</v>
      </c>
      <c r="D13" s="6">
        <v>720000</v>
      </c>
      <c r="E13" s="7">
        <v>750000</v>
      </c>
    </row>
    <row r="14" spans="2:5" x14ac:dyDescent="0.45">
      <c r="B14" s="4" t="s">
        <v>18</v>
      </c>
      <c r="C14" s="6">
        <v>800000</v>
      </c>
      <c r="D14" s="6">
        <v>820000</v>
      </c>
      <c r="E14" s="7">
        <v>850000</v>
      </c>
    </row>
    <row r="15" spans="2:5" ht="17.5" thickBot="1" x14ac:dyDescent="0.5">
      <c r="B15" s="5" t="s">
        <v>19</v>
      </c>
      <c r="C15" s="8">
        <v>900000</v>
      </c>
      <c r="D15" s="8">
        <v>920000</v>
      </c>
      <c r="E15" s="9">
        <v>950000</v>
      </c>
    </row>
  </sheetData>
  <mergeCells count="2">
    <mergeCell ref="B9:E9"/>
    <mergeCell ref="B1:E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4"/>
  <sheetViews>
    <sheetView workbookViewId="0"/>
  </sheetViews>
  <sheetFormatPr defaultRowHeight="17" x14ac:dyDescent="0.45"/>
  <cols>
    <col min="1" max="1" width="2" customWidth="1"/>
    <col min="2" max="2" width="9" customWidth="1"/>
    <col min="3" max="3" width="10.9140625" customWidth="1"/>
    <col min="4" max="4" width="2" customWidth="1"/>
    <col min="5" max="5" width="9" customWidth="1"/>
    <col min="6" max="6" width="10.83203125" customWidth="1"/>
  </cols>
  <sheetData>
    <row r="2" spans="2:6" x14ac:dyDescent="0.45">
      <c r="B2" s="10" t="s">
        <v>20</v>
      </c>
      <c r="C2" s="11" t="s">
        <v>21</v>
      </c>
      <c r="D2" s="13" t="s">
        <v>32</v>
      </c>
      <c r="E2" s="14"/>
    </row>
    <row r="3" spans="2:6" x14ac:dyDescent="0.45">
      <c r="B3" s="10">
        <v>302025</v>
      </c>
      <c r="C3" s="15" t="str">
        <f>INDEX($E$11:$F$14,VLOOKUP(B3,$B$11:$C$14,2,FALSE),2)</f>
        <v>대리점</v>
      </c>
      <c r="D3" s="16" t="s">
        <v>22</v>
      </c>
      <c r="E3" s="17"/>
    </row>
    <row r="4" spans="2:6" x14ac:dyDescent="0.45">
      <c r="B4" s="10">
        <v>103801</v>
      </c>
      <c r="C4" s="15" t="str">
        <f t="shared" ref="C4:C7" si="0">INDEX($E$11:$F$14,VLOOKUP(B4,$B$11:$C$14,2,FALSE),2)</f>
        <v>마트직영점</v>
      </c>
      <c r="D4" s="16" t="s">
        <v>22</v>
      </c>
      <c r="E4" s="17"/>
    </row>
    <row r="5" spans="2:6" x14ac:dyDescent="0.45">
      <c r="B5" s="10">
        <v>302025</v>
      </c>
      <c r="C5" s="15" t="str">
        <f t="shared" si="0"/>
        <v>대리점</v>
      </c>
      <c r="D5" s="16" t="s">
        <v>23</v>
      </c>
      <c r="E5" s="17"/>
    </row>
    <row r="6" spans="2:6" x14ac:dyDescent="0.45">
      <c r="B6" s="10">
        <v>101004</v>
      </c>
      <c r="C6" s="15" t="str">
        <f t="shared" si="0"/>
        <v>백화점</v>
      </c>
      <c r="D6" s="16" t="s">
        <v>23</v>
      </c>
      <c r="E6" s="17"/>
    </row>
    <row r="7" spans="2:6" x14ac:dyDescent="0.45">
      <c r="B7" s="10">
        <v>302008</v>
      </c>
      <c r="C7" s="15" t="str">
        <f t="shared" si="0"/>
        <v>쇼핑몰</v>
      </c>
      <c r="D7" s="16" t="s">
        <v>24</v>
      </c>
      <c r="E7" s="17"/>
    </row>
    <row r="9" spans="2:6" x14ac:dyDescent="0.45">
      <c r="B9" s="18" t="s">
        <v>25</v>
      </c>
      <c r="C9" s="19"/>
      <c r="E9" s="19" t="s">
        <v>26</v>
      </c>
      <c r="F9" s="19"/>
    </row>
    <row r="10" spans="2:6" x14ac:dyDescent="0.45">
      <c r="B10" s="20" t="s">
        <v>20</v>
      </c>
      <c r="C10" s="20" t="s">
        <v>27</v>
      </c>
      <c r="E10" s="20" t="s">
        <v>27</v>
      </c>
      <c r="F10" s="20" t="s">
        <v>21</v>
      </c>
    </row>
    <row r="11" spans="2:6" x14ac:dyDescent="0.45">
      <c r="B11" s="20">
        <v>101004</v>
      </c>
      <c r="C11" s="20">
        <v>1</v>
      </c>
      <c r="E11" s="20">
        <v>1</v>
      </c>
      <c r="F11" s="20" t="s">
        <v>28</v>
      </c>
    </row>
    <row r="12" spans="2:6" x14ac:dyDescent="0.45">
      <c r="B12" s="20">
        <v>103801</v>
      </c>
      <c r="C12" s="20">
        <v>2</v>
      </c>
      <c r="E12" s="20">
        <v>2</v>
      </c>
      <c r="F12" s="20" t="s">
        <v>29</v>
      </c>
    </row>
    <row r="13" spans="2:6" x14ac:dyDescent="0.45">
      <c r="B13" s="20">
        <v>302008</v>
      </c>
      <c r="C13" s="20">
        <v>3</v>
      </c>
      <c r="E13" s="20">
        <v>3</v>
      </c>
      <c r="F13" s="20" t="s">
        <v>30</v>
      </c>
    </row>
    <row r="14" spans="2:6" x14ac:dyDescent="0.45">
      <c r="B14" s="20">
        <v>302025</v>
      </c>
      <c r="C14" s="20">
        <v>4</v>
      </c>
      <c r="E14" s="20">
        <v>4</v>
      </c>
      <c r="F14" s="20" t="s">
        <v>31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2020-06-03T05:16:37Z</dcterms:created>
  <dcterms:modified xsi:type="dcterms:W3CDTF">2020-06-05T06:55:19Z</dcterms:modified>
</cp:coreProperties>
</file>