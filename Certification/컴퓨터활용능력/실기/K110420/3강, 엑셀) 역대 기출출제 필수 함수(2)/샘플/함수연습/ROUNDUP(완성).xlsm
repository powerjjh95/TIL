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 activeTab="1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F3" i="1"/>
  <c r="G3" i="1" s="1"/>
  <c r="F4" i="1"/>
  <c r="G4" i="1" s="1"/>
  <c r="F5" i="1"/>
  <c r="G5" i="1" s="1"/>
  <c r="F6" i="1"/>
  <c r="G6" i="1" s="1"/>
  <c r="F7" i="1"/>
  <c r="G7" i="1" s="1"/>
</calcChain>
</file>

<file path=xl/sharedStrings.xml><?xml version="1.0" encoding="utf-8"?>
<sst xmlns="http://schemas.openxmlformats.org/spreadsheetml/2006/main" count="27" uniqueCount="24">
  <si>
    <t>심사 결과</t>
  </si>
  <si>
    <t>이름</t>
  </si>
  <si>
    <t>근무</t>
  </si>
  <si>
    <t>능력</t>
  </si>
  <si>
    <t>실적</t>
  </si>
  <si>
    <t>평균</t>
  </si>
  <si>
    <t>평가점수</t>
  </si>
  <si>
    <t>박주형</t>
  </si>
  <si>
    <t>남영진</t>
  </si>
  <si>
    <t>강구라</t>
  </si>
  <si>
    <t>안미리</t>
  </si>
  <si>
    <t>초석구</t>
  </si>
  <si>
    <t>만기 지급액 계산</t>
  </si>
  <si>
    <t>사원번호</t>
  </si>
  <si>
    <t>직위</t>
  </si>
  <si>
    <t>월불입액</t>
  </si>
  <si>
    <t>만기지급액</t>
  </si>
  <si>
    <t>TN-012</t>
  </si>
  <si>
    <t>과장</t>
  </si>
  <si>
    <t>TN-011</t>
  </si>
  <si>
    <t>TN-010</t>
  </si>
  <si>
    <t>TN-014</t>
  </si>
  <si>
    <t>TN-015</t>
  </si>
  <si>
    <t>대리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</si>
</sst>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7"/>
  <sheetViews>
    <sheetView workbookViewId="0">
      <selection activeCell="I11" sqref="I11"/>
    </sheetView>
  </sheetViews>
  <sheetFormatPr defaultRowHeight="16.5" x14ac:dyDescent="0.3"/>
  <cols>
    <col min="1" max="1" width="1.625" customWidth="1"/>
    <col min="2" max="2" width="7.625" customWidth="1"/>
    <col min="3" max="5" width="7" customWidth="1"/>
  </cols>
  <sheetData>
    <row r="1" spans="2:7" x14ac:dyDescent="0.3">
      <c r="B1" s="1" t="s">
        <v>0</v>
      </c>
      <c r="C1" s="1"/>
      <c r="D1" s="1"/>
      <c r="E1" s="1"/>
      <c r="F1" s="1"/>
      <c r="G1" s="1"/>
    </row>
    <row r="2" spans="2:7" x14ac:dyDescent="0.3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5" t="s">
        <v>6</v>
      </c>
    </row>
    <row r="3" spans="2:7" x14ac:dyDescent="0.3">
      <c r="B3" s="3" t="s">
        <v>7</v>
      </c>
      <c r="C3" s="4">
        <v>72</v>
      </c>
      <c r="D3" s="4">
        <v>78</v>
      </c>
      <c r="E3" s="4">
        <v>80</v>
      </c>
      <c r="F3" s="2">
        <f>AVERAGE(C3:E3)</f>
        <v>76.666666666666671</v>
      </c>
      <c r="G3" s="4">
        <f>ROUNDUP(F3,0)</f>
        <v>77</v>
      </c>
    </row>
    <row r="4" spans="2:7" x14ac:dyDescent="0.3">
      <c r="B4" s="3" t="s">
        <v>8</v>
      </c>
      <c r="C4" s="4">
        <v>100</v>
      </c>
      <c r="D4" s="4">
        <v>90</v>
      </c>
      <c r="E4" s="4">
        <v>94</v>
      </c>
      <c r="F4" s="2">
        <f>AVERAGE(C4:E4)</f>
        <v>94.666666666666671</v>
      </c>
      <c r="G4" s="4">
        <f>ROUNDUP(F4,0)</f>
        <v>95</v>
      </c>
    </row>
    <row r="5" spans="2:7" x14ac:dyDescent="0.3">
      <c r="B5" s="3" t="s">
        <v>9</v>
      </c>
      <c r="C5" s="4">
        <v>100</v>
      </c>
      <c r="D5" s="4">
        <v>90</v>
      </c>
      <c r="E5" s="4">
        <v>93</v>
      </c>
      <c r="F5" s="2">
        <f>AVERAGE(C5:E5)</f>
        <v>94.333333333333329</v>
      </c>
      <c r="G5" s="4">
        <f>ROUNDUP(F5,0)</f>
        <v>95</v>
      </c>
    </row>
    <row r="6" spans="2:7" x14ac:dyDescent="0.3">
      <c r="B6" s="3" t="s">
        <v>10</v>
      </c>
      <c r="C6" s="4">
        <v>76</v>
      </c>
      <c r="D6" s="4">
        <v>72</v>
      </c>
      <c r="E6" s="4">
        <v>70</v>
      </c>
      <c r="F6" s="2">
        <f>AVERAGE(C6:E6)</f>
        <v>72.666666666666671</v>
      </c>
      <c r="G6" s="4">
        <f>ROUNDUP(F6,0)</f>
        <v>73</v>
      </c>
    </row>
    <row r="7" spans="2:7" x14ac:dyDescent="0.3">
      <c r="B7" s="3" t="s">
        <v>11</v>
      </c>
      <c r="C7" s="4">
        <v>75</v>
      </c>
      <c r="D7" s="4">
        <v>72</v>
      </c>
      <c r="E7" s="4">
        <v>70</v>
      </c>
      <c r="F7" s="2">
        <f>AVERAGE(C7:E7)</f>
        <v>72.333333333333329</v>
      </c>
      <c r="G7" s="4">
        <f>ROUNDUP(F7,0)</f>
        <v>73</v>
      </c>
    </row>
  </sheetData>
  <mergeCells count="1">
    <mergeCell ref="B1:G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7"/>
  <sheetViews>
    <sheetView tabSelected="1" workbookViewId="0">
      <selection activeCell="G11" sqref="G11"/>
    </sheetView>
  </sheetViews>
  <sheetFormatPr defaultRowHeight="16.5" x14ac:dyDescent="0.3"/>
  <cols>
    <col min="1" max="1" width="2.625" customWidth="1"/>
    <col min="3" max="3" width="5.25" bestFit="1" customWidth="1"/>
    <col min="4" max="4" width="9.375" bestFit="1" customWidth="1"/>
    <col min="5" max="5" width="10.875" bestFit="1" customWidth="1"/>
  </cols>
  <sheetData>
    <row r="1" spans="2:5" x14ac:dyDescent="0.3">
      <c r="B1" s="1" t="s">
        <v>12</v>
      </c>
      <c r="C1" s="1"/>
      <c r="D1" s="1"/>
      <c r="E1" s="1"/>
    </row>
    <row r="2" spans="2:5" x14ac:dyDescent="0.3">
      <c r="B2" s="3" t="s">
        <v>13</v>
      </c>
      <c r="C2" s="3" t="s">
        <v>14</v>
      </c>
      <c r="D2" s="3" t="s">
        <v>15</v>
      </c>
      <c r="E2" s="5" t="s">
        <v>16</v>
      </c>
    </row>
    <row r="3" spans="2:5" x14ac:dyDescent="0.3">
      <c r="B3" s="3" t="s">
        <v>17</v>
      </c>
      <c r="C3" s="3" t="s">
        <v>18</v>
      </c>
      <c r="D3" s="6">
        <v>112000</v>
      </c>
      <c r="E3" s="6">
        <f>ROUNDUP(FV(4%/12,5*12,-D3,,1),-2)</f>
        <v>7450300</v>
      </c>
    </row>
    <row r="4" spans="2:5" x14ac:dyDescent="0.3">
      <c r="B4" s="3" t="s">
        <v>19</v>
      </c>
      <c r="C4" s="3" t="s">
        <v>18</v>
      </c>
      <c r="D4" s="6">
        <v>81300</v>
      </c>
      <c r="E4" s="6">
        <f>ROUNDUP(FV(4%/12,5*12,-D4,,1),-2)</f>
        <v>5408100</v>
      </c>
    </row>
    <row r="5" spans="2:5" x14ac:dyDescent="0.3">
      <c r="B5" s="3" t="s">
        <v>20</v>
      </c>
      <c r="C5" s="3" t="s">
        <v>18</v>
      </c>
      <c r="D5" s="6">
        <v>113600</v>
      </c>
      <c r="E5" s="6">
        <f>ROUNDUP(FV(4%/12,5*12,-D5,,1),-2)</f>
        <v>7556700</v>
      </c>
    </row>
    <row r="6" spans="2:5" x14ac:dyDescent="0.3">
      <c r="B6" s="3" t="s">
        <v>21</v>
      </c>
      <c r="C6" s="3" t="s">
        <v>18</v>
      </c>
      <c r="D6" s="6">
        <v>112000</v>
      </c>
      <c r="E6" s="6">
        <f>ROUNDUP(FV(4%/12,5*12,-D6,,1),-2)</f>
        <v>7450300</v>
      </c>
    </row>
    <row r="7" spans="2:5" x14ac:dyDescent="0.3">
      <c r="B7" s="3" t="s">
        <v>22</v>
      </c>
      <c r="C7" s="3" t="s">
        <v>23</v>
      </c>
      <c r="D7" s="6">
        <v>73500</v>
      </c>
      <c r="E7" s="6">
        <f>ROUNDUP(FV(4%/12,5*12,-D7,,1),-2)</f>
        <v>4889300</v>
      </c>
    </row>
  </sheetData>
  <mergeCells count="1">
    <mergeCell ref="B1:E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2020-06-08T08:44:56Z</dcterms:created>
  <dcterms:modified xsi:type="dcterms:W3CDTF">2020-06-08T08:47:41Z</dcterms:modified>
</cp:coreProperties>
</file>