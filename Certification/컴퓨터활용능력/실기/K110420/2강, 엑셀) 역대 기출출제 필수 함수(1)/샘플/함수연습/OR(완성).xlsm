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D3" i="1"/>
  <c r="D4" i="1"/>
  <c r="D5" i="1"/>
  <c r="D6" i="1"/>
</calcChain>
</file>

<file path=xl/sharedStrings.xml><?xml version="1.0" encoding="utf-8"?>
<sst xmlns="http://schemas.openxmlformats.org/spreadsheetml/2006/main" count="32" uniqueCount="24">
  <si>
    <t>OR 진리표</t>
  </si>
  <si>
    <t>A</t>
  </si>
  <si>
    <t>B</t>
  </si>
  <si>
    <t>X</t>
  </si>
  <si>
    <t>성명</t>
  </si>
  <si>
    <t>결제</t>
  </si>
  <si>
    <t>도소매</t>
  </si>
  <si>
    <t>포인트</t>
  </si>
  <si>
    <t>정가</t>
  </si>
  <si>
    <t>수량</t>
  </si>
  <si>
    <t>할인액</t>
  </si>
  <si>
    <t>정화선</t>
  </si>
  <si>
    <t>현금</t>
  </si>
  <si>
    <t>소매</t>
  </si>
  <si>
    <t>박세람</t>
  </si>
  <si>
    <t>신용</t>
  </si>
  <si>
    <t>도매</t>
  </si>
  <si>
    <t>추영임</t>
  </si>
  <si>
    <t>세금</t>
  </si>
  <si>
    <t>김우승</t>
  </si>
  <si>
    <t>인수연</t>
  </si>
  <si>
    <t>정유진</t>
  </si>
  <si>
    <t>김지연</t>
  </si>
  <si>
    <t>제휴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</si>
</sst>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6"/>
  <sheetViews>
    <sheetView tabSelected="1" workbookViewId="0">
      <selection activeCell="H13" sqref="H13"/>
    </sheetView>
  </sheetViews>
  <sheetFormatPr defaultRowHeight="16.5" x14ac:dyDescent="0.3"/>
  <cols>
    <col min="1" max="1" width="1.625" customWidth="1"/>
  </cols>
  <sheetData>
    <row r="1" spans="2:4" x14ac:dyDescent="0.3">
      <c r="B1" s="2" t="s">
        <v>0</v>
      </c>
      <c r="C1" s="2"/>
      <c r="D1" s="2"/>
    </row>
    <row r="2" spans="2:4" x14ac:dyDescent="0.3">
      <c r="B2" s="1" t="s">
        <v>1</v>
      </c>
      <c r="C2" s="1" t="s">
        <v>2</v>
      </c>
      <c r="D2" s="3" t="s">
        <v>3</v>
      </c>
    </row>
    <row r="3" spans="2:4" x14ac:dyDescent="0.3">
      <c r="B3" s="1" t="b">
        <v>0</v>
      </c>
      <c r="C3" s="1" t="b">
        <v>0</v>
      </c>
      <c r="D3" s="1" t="b">
        <f>OR(B3:C3)</f>
        <v>0</v>
      </c>
    </row>
    <row r="4" spans="2:4" x14ac:dyDescent="0.3">
      <c r="B4" s="1" t="b">
        <v>1</v>
      </c>
      <c r="C4" s="1" t="b">
        <v>0</v>
      </c>
      <c r="D4" s="1" t="b">
        <f>OR(B4:C4)</f>
        <v>1</v>
      </c>
    </row>
    <row r="5" spans="2:4" x14ac:dyDescent="0.3">
      <c r="B5" s="1" t="b">
        <v>0</v>
      </c>
      <c r="C5" s="1" t="b">
        <v>1</v>
      </c>
      <c r="D5" s="1" t="b">
        <f>OR(B5:C5)</f>
        <v>1</v>
      </c>
    </row>
    <row r="6" spans="2:4" x14ac:dyDescent="0.3">
      <c r="B6" s="1" t="b">
        <v>1</v>
      </c>
      <c r="C6" s="1" t="b">
        <v>1</v>
      </c>
      <c r="D6" s="1" t="b">
        <f>OR(B6:C6)</f>
        <v>1</v>
      </c>
    </row>
  </sheetData>
  <mergeCells count="1">
    <mergeCell ref="B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9"/>
  <sheetViews>
    <sheetView workbookViewId="0">
      <selection activeCell="L17" sqref="L17"/>
    </sheetView>
  </sheetViews>
  <sheetFormatPr defaultRowHeight="16.5" x14ac:dyDescent="0.3"/>
  <cols>
    <col min="1" max="1" width="3.625" customWidth="1"/>
    <col min="2" max="2" width="8.125" customWidth="1"/>
    <col min="3" max="3" width="6.5" customWidth="1"/>
    <col min="4" max="4" width="8.375" customWidth="1"/>
    <col min="5" max="5" width="10.75" customWidth="1"/>
    <col min="6" max="6" width="9.625" customWidth="1"/>
    <col min="7" max="7" width="5.25" bestFit="1" customWidth="1"/>
    <col min="8" max="8" width="10.5" customWidth="1"/>
  </cols>
  <sheetData>
    <row r="2" spans="2:8" x14ac:dyDescent="0.3"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3" t="s">
        <v>10</v>
      </c>
    </row>
    <row r="3" spans="2:8" x14ac:dyDescent="0.3">
      <c r="B3" s="1" t="s">
        <v>11</v>
      </c>
      <c r="C3" s="1" t="s">
        <v>12</v>
      </c>
      <c r="D3" s="1" t="s">
        <v>13</v>
      </c>
      <c r="E3" s="4">
        <v>30000</v>
      </c>
      <c r="F3" s="4">
        <v>12480</v>
      </c>
      <c r="G3" s="4">
        <v>15</v>
      </c>
      <c r="H3" s="4">
        <f>MIN(F3*G3*IF(OR(C3="제휴",C3="현금"),30%,10%),E3)</f>
        <v>30000</v>
      </c>
    </row>
    <row r="4" spans="2:8" x14ac:dyDescent="0.3">
      <c r="B4" s="1" t="s">
        <v>14</v>
      </c>
      <c r="C4" s="1" t="s">
        <v>15</v>
      </c>
      <c r="D4" s="1" t="s">
        <v>16</v>
      </c>
      <c r="E4" s="4">
        <v>50000</v>
      </c>
      <c r="F4" s="4">
        <v>7040</v>
      </c>
      <c r="G4" s="4">
        <v>6</v>
      </c>
      <c r="H4" s="4">
        <f>MIN(F4*G4*IF(OR(C4="제휴",C4="현금"),30%,10%),E4)</f>
        <v>4224</v>
      </c>
    </row>
    <row r="5" spans="2:8" x14ac:dyDescent="0.3">
      <c r="B5" s="1" t="s">
        <v>17</v>
      </c>
      <c r="C5" s="1" t="s">
        <v>18</v>
      </c>
      <c r="D5" s="1" t="s">
        <v>16</v>
      </c>
      <c r="E5" s="4">
        <v>12000</v>
      </c>
      <c r="F5" s="4">
        <v>19520</v>
      </c>
      <c r="G5" s="4">
        <v>18</v>
      </c>
      <c r="H5" s="4">
        <f>MIN(F5*G5*IF(OR(C5="제휴",C5="현금"),30%,10%),E5)</f>
        <v>12000</v>
      </c>
    </row>
    <row r="6" spans="2:8" x14ac:dyDescent="0.3">
      <c r="B6" s="1" t="s">
        <v>19</v>
      </c>
      <c r="C6" s="1" t="s">
        <v>12</v>
      </c>
      <c r="D6" s="1" t="s">
        <v>16</v>
      </c>
      <c r="E6" s="4">
        <v>500000</v>
      </c>
      <c r="F6" s="4">
        <v>30400</v>
      </c>
      <c r="G6" s="4">
        <v>26</v>
      </c>
      <c r="H6" s="4">
        <f>MIN(F6*G6*IF(OR(C6="제휴",C6="현금"),30%,10%),E6)</f>
        <v>237120</v>
      </c>
    </row>
    <row r="7" spans="2:8" x14ac:dyDescent="0.3">
      <c r="B7" s="1" t="s">
        <v>20</v>
      </c>
      <c r="C7" s="1" t="s">
        <v>15</v>
      </c>
      <c r="D7" s="1" t="s">
        <v>16</v>
      </c>
      <c r="E7" s="4">
        <v>0</v>
      </c>
      <c r="F7" s="4">
        <v>4160</v>
      </c>
      <c r="G7" s="4">
        <v>6</v>
      </c>
      <c r="H7" s="4">
        <f>MIN(F7*G7*IF(OR(C7="제휴",C7="현금"),30%,10%),E7)</f>
        <v>0</v>
      </c>
    </row>
    <row r="8" spans="2:8" x14ac:dyDescent="0.3">
      <c r="B8" s="1" t="s">
        <v>21</v>
      </c>
      <c r="C8" s="1" t="s">
        <v>18</v>
      </c>
      <c r="D8" s="1" t="s">
        <v>13</v>
      </c>
      <c r="E8" s="4">
        <v>350000</v>
      </c>
      <c r="F8" s="4">
        <v>26560</v>
      </c>
      <c r="G8" s="4">
        <v>70</v>
      </c>
      <c r="H8" s="4">
        <f>MIN(F8*G8*IF(OR(C8="제휴",C8="현금"),30%,10%),E8)</f>
        <v>185920</v>
      </c>
    </row>
    <row r="9" spans="2:8" x14ac:dyDescent="0.3">
      <c r="B9" s="1" t="s">
        <v>22</v>
      </c>
      <c r="C9" s="1" t="s">
        <v>23</v>
      </c>
      <c r="D9" s="1" t="s">
        <v>13</v>
      </c>
      <c r="E9" s="4">
        <v>4200</v>
      </c>
      <c r="F9" s="4">
        <v>26240</v>
      </c>
      <c r="G9" s="4">
        <v>57</v>
      </c>
      <c r="H9" s="4">
        <f>MIN(F9*G9*IF(OR(C9="제휴",C9="현금"),30%,10%),E9)</f>
        <v>4200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2020-06-05T08:56:24Z</dcterms:created>
  <dcterms:modified xsi:type="dcterms:W3CDTF">2020-06-05T08:59:16Z</dcterms:modified>
</cp:coreProperties>
</file>