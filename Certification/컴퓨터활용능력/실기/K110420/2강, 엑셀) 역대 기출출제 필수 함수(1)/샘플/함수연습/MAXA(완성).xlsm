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" i="2" l="1" a="1"/>
  <c r="I5" i="2" s="1"/>
  <c r="I4" i="2" a="1"/>
  <c r="I4" i="2" s="1"/>
  <c r="I3" i="2" a="1"/>
  <c r="I3" i="2" s="1"/>
  <c r="D10" i="1"/>
  <c r="E10" i="1"/>
</calcChain>
</file>

<file path=xl/sharedStrings.xml><?xml version="1.0" encoding="utf-8"?>
<sst xmlns="http://schemas.openxmlformats.org/spreadsheetml/2006/main" count="52" uniqueCount="47">
  <si>
    <t>성적표</t>
  </si>
  <si>
    <t>※ 보훈 자녀는 TRUE로 표시하며, 가산점은 1점입니다!</t>
  </si>
  <si>
    <t>성명</t>
  </si>
  <si>
    <t>학과</t>
  </si>
  <si>
    <t>영어</t>
  </si>
  <si>
    <t>수학</t>
  </si>
  <si>
    <t>전현수</t>
  </si>
  <si>
    <t>건축과</t>
  </si>
  <si>
    <t>김명훈</t>
  </si>
  <si>
    <t>기계과</t>
  </si>
  <si>
    <t>하현호</t>
  </si>
  <si>
    <t>경영과</t>
  </si>
  <si>
    <t>강진성</t>
  </si>
  <si>
    <t>박희선</t>
  </si>
  <si>
    <t>엄정희</t>
  </si>
  <si>
    <t>최대 가산점</t>
  </si>
  <si>
    <t>[표1]</t>
  </si>
  <si>
    <t>[표2]</t>
  </si>
  <si>
    <t>회원코드</t>
  </si>
  <si>
    <t>대출금액</t>
  </si>
  <si>
    <t>대출기간</t>
  </si>
  <si>
    <t>월상환액</t>
  </si>
  <si>
    <t>코드</t>
  </si>
  <si>
    <t>직업</t>
  </si>
  <si>
    <t>JA140</t>
  </si>
  <si>
    <t>이찬진</t>
  </si>
  <si>
    <t>JA</t>
  </si>
  <si>
    <t>자영업</t>
  </si>
  <si>
    <t>JC268</t>
  </si>
  <si>
    <t>고광섭</t>
  </si>
  <si>
    <t>JB</t>
  </si>
  <si>
    <t>회사원</t>
  </si>
  <si>
    <t>JA845</t>
  </si>
  <si>
    <t>김은조</t>
  </si>
  <si>
    <t>-</t>
  </si>
  <si>
    <t>대출없음</t>
  </si>
  <si>
    <t>JC</t>
  </si>
  <si>
    <t>공무원</t>
  </si>
  <si>
    <t>JB571</t>
  </si>
  <si>
    <t>채경찬</t>
  </si>
  <si>
    <t>JB367</t>
  </si>
  <si>
    <t>임종례</t>
  </si>
  <si>
    <t>JC664</t>
  </si>
  <si>
    <t>정종수</t>
  </si>
  <si>
    <t>JA188</t>
  </si>
  <si>
    <t>서현명</t>
  </si>
  <si>
    <t>최대대출금액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</si>
</sst>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2" formatCode="_-&quot;₩&quot;* #,##0_-;\-&quot;₩&quot;* #,##0_-;_-&quot;₩&quot;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2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42" fontId="0" fillId="0" borderId="1" xfId="0" applyNumberFormat="1" applyBorder="1" applyAlignment="1">
      <alignment horizontal="center" vertical="center"/>
    </xf>
    <xf numFmtId="42" fontId="0" fillId="0" borderId="6" xfId="0" applyNumberFormat="1" applyBorder="1" applyAlignment="1">
      <alignment horizontal="center" vertical="center"/>
    </xf>
    <xf numFmtId="42" fontId="0" fillId="0" borderId="9" xfId="0" applyNumberFormat="1" applyBorder="1" applyAlignment="1">
      <alignment horizontal="center" vertical="center"/>
    </xf>
    <xf numFmtId="0" fontId="0" fillId="2" borderId="4" xfId="0" applyFill="1" applyBorder="1" applyAlignment="1">
      <alignment horizontal="center"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10"/>
  <sheetViews>
    <sheetView tabSelected="1" workbookViewId="0"/>
  </sheetViews>
  <sheetFormatPr defaultRowHeight="17" x14ac:dyDescent="0.45"/>
  <cols>
    <col min="1" max="1" width="2" customWidth="1"/>
    <col min="2" max="5" width="10.58203125" customWidth="1"/>
  </cols>
  <sheetData>
    <row r="1" spans="2:5" x14ac:dyDescent="0.45">
      <c r="B1" s="5" t="s">
        <v>0</v>
      </c>
      <c r="C1" s="5"/>
      <c r="D1" s="5"/>
      <c r="E1" s="5"/>
    </row>
    <row r="2" spans="2:5" ht="17.5" thickBot="1" x14ac:dyDescent="0.5">
      <c r="B2" s="6" t="s">
        <v>1</v>
      </c>
      <c r="C2" s="6"/>
      <c r="D2" s="6"/>
      <c r="E2" s="6"/>
    </row>
    <row r="3" spans="2:5" x14ac:dyDescent="0.45">
      <c r="B3" s="7" t="s">
        <v>2</v>
      </c>
      <c r="C3" s="8" t="s">
        <v>3</v>
      </c>
      <c r="D3" s="8" t="s">
        <v>4</v>
      </c>
      <c r="E3" s="9" t="s">
        <v>5</v>
      </c>
    </row>
    <row r="4" spans="2:5" x14ac:dyDescent="0.45">
      <c r="B4" s="10" t="s">
        <v>6</v>
      </c>
      <c r="C4" s="11" t="s">
        <v>7</v>
      </c>
      <c r="D4" s="1">
        <v>0.72</v>
      </c>
      <c r="E4" s="2">
        <v>0.88</v>
      </c>
    </row>
    <row r="5" spans="2:5" x14ac:dyDescent="0.45">
      <c r="B5" s="10" t="s">
        <v>8</v>
      </c>
      <c r="C5" s="11" t="s">
        <v>9</v>
      </c>
      <c r="D5" s="1">
        <v>0.55000000000000004</v>
      </c>
      <c r="E5" s="2">
        <v>0.7</v>
      </c>
    </row>
    <row r="6" spans="2:5" x14ac:dyDescent="0.45">
      <c r="B6" s="10" t="s">
        <v>10</v>
      </c>
      <c r="C6" s="11" t="s">
        <v>11</v>
      </c>
      <c r="D6" s="1">
        <v>0.98</v>
      </c>
      <c r="E6" s="2">
        <v>0.8</v>
      </c>
    </row>
    <row r="7" spans="2:5" x14ac:dyDescent="0.45">
      <c r="B7" s="10" t="s">
        <v>12</v>
      </c>
      <c r="C7" s="11" t="s">
        <v>9</v>
      </c>
      <c r="D7" s="1">
        <v>0.76</v>
      </c>
      <c r="E7" s="2">
        <v>0.94</v>
      </c>
    </row>
    <row r="8" spans="2:5" x14ac:dyDescent="0.45">
      <c r="B8" s="10" t="s">
        <v>13</v>
      </c>
      <c r="C8" s="11" t="s">
        <v>7</v>
      </c>
      <c r="D8" s="1" t="b">
        <v>1</v>
      </c>
      <c r="E8" s="2">
        <v>0.67</v>
      </c>
    </row>
    <row r="9" spans="2:5" x14ac:dyDescent="0.45">
      <c r="B9" s="10" t="s">
        <v>14</v>
      </c>
      <c r="C9" s="11" t="s">
        <v>7</v>
      </c>
      <c r="D9" s="1">
        <v>0.84</v>
      </c>
      <c r="E9" s="2">
        <v>0.9</v>
      </c>
    </row>
    <row r="10" spans="2:5" ht="17.5" thickBot="1" x14ac:dyDescent="0.5">
      <c r="B10" s="14" t="s">
        <v>15</v>
      </c>
      <c r="C10" s="15"/>
      <c r="D10" s="3">
        <f>MAXA(D4:D9)</f>
        <v>1</v>
      </c>
      <c r="E10" s="4">
        <f>MAXA(E4:E9)</f>
        <v>0.94</v>
      </c>
    </row>
  </sheetData>
  <mergeCells count="3">
    <mergeCell ref="B1:E1"/>
    <mergeCell ref="B2:E2"/>
    <mergeCell ref="B10:C10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9"/>
  <sheetViews>
    <sheetView workbookViewId="0">
      <selection activeCell="A10" sqref="A10"/>
    </sheetView>
  </sheetViews>
  <sheetFormatPr defaultRowHeight="17" x14ac:dyDescent="0.45"/>
  <cols>
    <col min="2" max="2" width="7.58203125" customWidth="1"/>
    <col min="3" max="3" width="12.33203125" customWidth="1"/>
    <col min="5" max="5" width="11.75" customWidth="1"/>
    <col min="6" max="6" width="2" customWidth="1"/>
    <col min="7" max="7" width="7.08203125" customWidth="1"/>
    <col min="8" max="8" width="7.58203125" customWidth="1"/>
    <col min="9" max="9" width="13" customWidth="1"/>
  </cols>
  <sheetData>
    <row r="1" spans="1:9" ht="17.5" thickBot="1" x14ac:dyDescent="0.5">
      <c r="A1" t="s">
        <v>16</v>
      </c>
      <c r="G1" t="s">
        <v>17</v>
      </c>
    </row>
    <row r="2" spans="1:9" x14ac:dyDescent="0.45">
      <c r="A2" s="11" t="s">
        <v>18</v>
      </c>
      <c r="B2" s="11" t="s">
        <v>2</v>
      </c>
      <c r="C2" s="11" t="s">
        <v>19</v>
      </c>
      <c r="D2" s="11" t="s">
        <v>20</v>
      </c>
      <c r="E2" s="11" t="s">
        <v>21</v>
      </c>
      <c r="G2" s="7" t="s">
        <v>22</v>
      </c>
      <c r="H2" s="8" t="s">
        <v>23</v>
      </c>
      <c r="I2" s="19" t="s">
        <v>46</v>
      </c>
    </row>
    <row r="3" spans="1:9" x14ac:dyDescent="0.45">
      <c r="A3" s="11" t="s">
        <v>24</v>
      </c>
      <c r="B3" s="11" t="s">
        <v>25</v>
      </c>
      <c r="C3" s="16">
        <v>5000000</v>
      </c>
      <c r="D3" s="11">
        <v>3</v>
      </c>
      <c r="E3" s="16">
        <v>150979.509021551</v>
      </c>
      <c r="G3" s="10" t="s">
        <v>26</v>
      </c>
      <c r="H3" s="11" t="s">
        <v>27</v>
      </c>
      <c r="I3" s="17" t="str">
        <f t="array" ref="I3">TEXT(MAXA(IF(LEFT($A$3:$A$9,2)=G3,$C$3:$C$9)),"\#,###원")</f>
        <v>₩5,500,000원</v>
      </c>
    </row>
    <row r="4" spans="1:9" x14ac:dyDescent="0.45">
      <c r="A4" s="11" t="s">
        <v>28</v>
      </c>
      <c r="B4" s="11" t="s">
        <v>29</v>
      </c>
      <c r="C4" s="16">
        <v>4500000</v>
      </c>
      <c r="D4" s="11">
        <v>2</v>
      </c>
      <c r="E4" s="16">
        <v>194412.24961084599</v>
      </c>
      <c r="G4" s="10" t="s">
        <v>30</v>
      </c>
      <c r="H4" s="11" t="s">
        <v>31</v>
      </c>
      <c r="I4" s="17" t="str">
        <f t="array" ref="I4">TEXT(MAXA(IF(LEFT($A$3:$A$9,2)=G4,$C$3:$C$9)),"\#,###원")</f>
        <v>₩7,000,000원</v>
      </c>
    </row>
    <row r="5" spans="1:9" ht="17.5" thickBot="1" x14ac:dyDescent="0.5">
      <c r="A5" s="11" t="s">
        <v>32</v>
      </c>
      <c r="B5" s="11" t="s">
        <v>33</v>
      </c>
      <c r="C5" s="16" t="s">
        <v>34</v>
      </c>
      <c r="D5" s="11" t="s">
        <v>34</v>
      </c>
      <c r="E5" s="16" t="s">
        <v>35</v>
      </c>
      <c r="G5" s="12" t="s">
        <v>36</v>
      </c>
      <c r="H5" s="13" t="s">
        <v>37</v>
      </c>
      <c r="I5" s="18" t="str">
        <f t="array" ref="I5">TEXT(MAXA(IF(LEFT($A$3:$A$9,2)=G5,$C$3:$C$9)),"\#,###원")</f>
        <v>₩4,500,000원</v>
      </c>
    </row>
    <row r="6" spans="1:9" x14ac:dyDescent="0.45">
      <c r="A6" s="11" t="s">
        <v>38</v>
      </c>
      <c r="B6" s="11" t="s">
        <v>39</v>
      </c>
      <c r="C6" s="16">
        <v>7000000</v>
      </c>
      <c r="D6" s="11">
        <v>2</v>
      </c>
      <c r="E6" s="16">
        <v>308041.06925023702</v>
      </c>
    </row>
    <row r="7" spans="1:9" x14ac:dyDescent="0.45">
      <c r="A7" s="11" t="s">
        <v>40</v>
      </c>
      <c r="B7" s="11" t="s">
        <v>41</v>
      </c>
      <c r="C7" s="16">
        <v>5500000</v>
      </c>
      <c r="D7" s="11">
        <v>2</v>
      </c>
      <c r="E7" s="16">
        <v>229166.66666666701</v>
      </c>
    </row>
    <row r="8" spans="1:9" x14ac:dyDescent="0.45">
      <c r="A8" s="11" t="s">
        <v>42</v>
      </c>
      <c r="B8" s="11" t="s">
        <v>43</v>
      </c>
      <c r="C8" s="16">
        <v>2000000</v>
      </c>
      <c r="D8" s="11">
        <v>4</v>
      </c>
      <c r="E8" s="16">
        <v>41666.666666666701</v>
      </c>
    </row>
    <row r="9" spans="1:9" x14ac:dyDescent="0.45">
      <c r="A9" s="11" t="s">
        <v>44</v>
      </c>
      <c r="B9" s="11" t="s">
        <v>45</v>
      </c>
      <c r="C9" s="16">
        <v>5500000</v>
      </c>
      <c r="D9" s="11">
        <v>1</v>
      </c>
      <c r="E9" s="16">
        <v>416666.66666666698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2020-06-12T06:14:08Z</dcterms:created>
  <dcterms:modified xsi:type="dcterms:W3CDTF">2020-06-12T06:21:07Z</dcterms:modified>
</cp:coreProperties>
</file>