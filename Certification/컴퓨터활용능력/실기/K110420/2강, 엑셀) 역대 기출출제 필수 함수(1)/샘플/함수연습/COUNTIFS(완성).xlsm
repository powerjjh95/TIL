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2" l="1"/>
  <c r="G15" i="2"/>
  <c r="G16" i="2"/>
  <c r="F15" i="2"/>
  <c r="F16" i="2"/>
  <c r="F14" i="2"/>
  <c r="E15" i="2"/>
  <c r="E16" i="2"/>
  <c r="E14" i="2"/>
  <c r="D15" i="2"/>
  <c r="D16" i="2"/>
  <c r="D14" i="2"/>
  <c r="I5" i="1"/>
  <c r="H5" i="1"/>
  <c r="I4" i="1"/>
  <c r="H4" i="1"/>
</calcChain>
</file>

<file path=xl/sharedStrings.xml><?xml version="1.0" encoding="utf-8"?>
<sst xmlns="http://schemas.openxmlformats.org/spreadsheetml/2006/main" count="66" uniqueCount="39">
  <si>
    <t>기본급 지급 현황</t>
  </si>
  <si>
    <t>부서별 직급별 인원수</t>
  </si>
  <si>
    <t>성명</t>
  </si>
  <si>
    <t>부서</t>
  </si>
  <si>
    <t>직급</t>
  </si>
  <si>
    <t>기본급</t>
  </si>
  <si>
    <t xml:space="preserve">         직급_x000D_
부서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</si>
  <si>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</si>
  <si>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</si>
  <si>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</si>
  <si>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</si>
  <si>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</si>
  <si>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</si>
  <si>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</si>
  <si>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</si>
  <si>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</si>
  <si>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</si>
  <si>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</si>
  <si>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</si>
  <si>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>제품명</t>
  </si>
  <si>
    <t>농사방법</t>
  </si>
  <si>
    <t>단위(KG)</t>
  </si>
  <si>
    <t>단가</t>
  </si>
  <si>
    <t>판매량</t>
  </si>
  <si>
    <t>판매금액</t>
  </si>
  <si>
    <t>상추(1kg)</t>
  </si>
  <si>
    <t>무농약</t>
  </si>
  <si>
    <t>현미</t>
  </si>
  <si>
    <t>햇 흙당근</t>
  </si>
  <si>
    <t>일반</t>
  </si>
  <si>
    <t>발아현미</t>
  </si>
  <si>
    <t>찰보리</t>
  </si>
  <si>
    <t>유기농</t>
  </si>
  <si>
    <t>철원오대쌀</t>
  </si>
  <si>
    <t>땅끝해남양파</t>
  </si>
  <si>
    <t>짭짤이토마토</t>
  </si>
  <si>
    <t>친환경봉지단감</t>
  </si>
  <si>
    <t>저농약</t>
  </si>
  <si>
    <t>찰흑미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</si>
</sst>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1"/>
  <sheetViews>
    <sheetView tabSelected="1" workbookViewId="0"/>
  </sheetViews>
  <sheetFormatPr defaultRowHeight="17" x14ac:dyDescent="0.45"/>
  <cols>
    <col min="1" max="1" width="2" customWidth="1"/>
    <col min="2" max="3" width="7.33203125" customWidth="1"/>
    <col min="4" max="4" width="5.5" customWidth="1"/>
    <col min="5" max="5" width="13.08203125" customWidth="1"/>
    <col min="6" max="6" width="1.33203125" customWidth="1"/>
    <col min="7" max="7" width="11" customWidth="1"/>
    <col min="8" max="9" width="9" customWidth="1"/>
  </cols>
  <sheetData>
    <row r="1" spans="2:9" x14ac:dyDescent="0.45">
      <c r="B1" s="19" t="s">
        <v>0</v>
      </c>
      <c r="C1" s="19"/>
      <c r="D1" s="19"/>
      <c r="E1" s="19"/>
      <c r="G1" s="19" t="s">
        <v>1</v>
      </c>
      <c r="H1" s="19"/>
      <c r="I1" s="19"/>
    </row>
    <row r="2" spans="2:9" ht="17.5" thickBot="1" x14ac:dyDescent="0.5"/>
    <row r="3" spans="2:9" ht="31.5" customHeight="1" x14ac:dyDescent="0.45">
      <c r="B3" s="5" t="s">
        <v>2</v>
      </c>
      <c r="C3" s="6" t="s">
        <v>3</v>
      </c>
      <c r="D3" s="6" t="s">
        <v>4</v>
      </c>
      <c r="E3" s="7" t="s">
        <v>5</v>
      </c>
      <c r="F3" s="3"/>
      <c r="G3" s="4" t="s">
        <v>6</v>
      </c>
      <c r="H3" s="8" t="s">
        <v>7</v>
      </c>
      <c r="I3" s="9" t="s">
        <v>8</v>
      </c>
    </row>
    <row r="4" spans="2:9" x14ac:dyDescent="0.45">
      <c r="B4" s="10" t="s">
        <v>9</v>
      </c>
      <c r="C4" s="16" t="s">
        <v>10</v>
      </c>
      <c r="D4" s="16" t="s">
        <v>7</v>
      </c>
      <c r="E4" s="13">
        <v>1450000</v>
      </c>
      <c r="G4" s="10" t="s">
        <v>10</v>
      </c>
      <c r="H4" s="12">
        <f>COUNTIFS(C4:C11,"판매부",D4:D11,"1급")</f>
        <v>2</v>
      </c>
      <c r="I4" s="13">
        <f>COUNTIFS(C4:C11,"판매부",D4:D11,"2급")</f>
        <v>2</v>
      </c>
    </row>
    <row r="5" spans="2:9" ht="17.5" thickBot="1" x14ac:dyDescent="0.5">
      <c r="B5" s="10" t="s">
        <v>11</v>
      </c>
      <c r="C5" s="16" t="s">
        <v>12</v>
      </c>
      <c r="D5" s="16" t="s">
        <v>8</v>
      </c>
      <c r="E5" s="13">
        <v>1350000</v>
      </c>
      <c r="G5" s="11" t="s">
        <v>12</v>
      </c>
      <c r="H5" s="14">
        <f>COUNTIFS(C4:C11,"기획부",D4:D11,"1급")</f>
        <v>2</v>
      </c>
      <c r="I5" s="15">
        <f>COUNTIFS(C4:C11,"기획부",D4:D11,"2급")</f>
        <v>2</v>
      </c>
    </row>
    <row r="6" spans="2:9" x14ac:dyDescent="0.45">
      <c r="B6" s="10" t="s">
        <v>13</v>
      </c>
      <c r="C6" s="16" t="s">
        <v>10</v>
      </c>
      <c r="D6" s="16" t="s">
        <v>8</v>
      </c>
      <c r="E6" s="13">
        <v>1350000</v>
      </c>
    </row>
    <row r="7" spans="2:9" x14ac:dyDescent="0.45">
      <c r="B7" s="10" t="s">
        <v>14</v>
      </c>
      <c r="C7" s="16" t="s">
        <v>12</v>
      </c>
      <c r="D7" s="16" t="s">
        <v>8</v>
      </c>
      <c r="E7" s="13">
        <v>1200000</v>
      </c>
    </row>
    <row r="8" spans="2:9" x14ac:dyDescent="0.45">
      <c r="B8" s="10" t="s">
        <v>15</v>
      </c>
      <c r="C8" s="16" t="s">
        <v>10</v>
      </c>
      <c r="D8" s="16" t="s">
        <v>7</v>
      </c>
      <c r="E8" s="13">
        <v>1450000</v>
      </c>
    </row>
    <row r="9" spans="2:9" x14ac:dyDescent="0.45">
      <c r="B9" s="10" t="s">
        <v>16</v>
      </c>
      <c r="C9" s="16" t="s">
        <v>12</v>
      </c>
      <c r="D9" s="16" t="s">
        <v>7</v>
      </c>
      <c r="E9" s="13">
        <v>1450000</v>
      </c>
    </row>
    <row r="10" spans="2:9" x14ac:dyDescent="0.45">
      <c r="B10" s="10" t="s">
        <v>17</v>
      </c>
      <c r="C10" s="16" t="s">
        <v>12</v>
      </c>
      <c r="D10" s="16" t="s">
        <v>7</v>
      </c>
      <c r="E10" s="13">
        <v>1200000</v>
      </c>
      <c r="F10" s="1"/>
    </row>
    <row r="11" spans="2:9" ht="17.5" thickBot="1" x14ac:dyDescent="0.5">
      <c r="B11" s="11" t="s">
        <v>18</v>
      </c>
      <c r="C11" s="17" t="s">
        <v>10</v>
      </c>
      <c r="D11" s="17" t="s">
        <v>8</v>
      </c>
      <c r="E11" s="15">
        <v>1300000</v>
      </c>
      <c r="F11" s="1"/>
    </row>
  </sheetData>
  <mergeCells count="2">
    <mergeCell ref="G1:I1"/>
    <mergeCell ref="B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6"/>
  <sheetViews>
    <sheetView workbookViewId="0"/>
  </sheetViews>
  <sheetFormatPr defaultRowHeight="17" x14ac:dyDescent="0.45"/>
  <cols>
    <col min="1" max="1" width="2" customWidth="1"/>
    <col min="2" max="2" width="15.08203125" customWidth="1"/>
    <col min="3" max="3" width="9.33203125" customWidth="1"/>
    <col min="4" max="4" width="9" customWidth="1"/>
    <col min="5" max="5" width="8.33203125" customWidth="1"/>
    <col min="6" max="6" width="7.08203125" customWidth="1"/>
    <col min="7" max="7" width="9.33203125" customWidth="1"/>
  </cols>
  <sheetData>
    <row r="1" spans="2:7" x14ac:dyDescent="0.45">
      <c r="B1" s="16" t="s">
        <v>19</v>
      </c>
      <c r="C1" s="16" t="s">
        <v>20</v>
      </c>
      <c r="D1" s="16" t="s">
        <v>21</v>
      </c>
      <c r="E1" s="16" t="s">
        <v>22</v>
      </c>
      <c r="F1" s="16" t="s">
        <v>23</v>
      </c>
      <c r="G1" s="16" t="s">
        <v>24</v>
      </c>
    </row>
    <row r="2" spans="2:7" x14ac:dyDescent="0.45">
      <c r="B2" s="16" t="s">
        <v>25</v>
      </c>
      <c r="C2" s="16" t="s">
        <v>26</v>
      </c>
      <c r="D2" s="16">
        <v>1</v>
      </c>
      <c r="E2" s="12">
        <v>12500</v>
      </c>
      <c r="F2" s="16">
        <v>8</v>
      </c>
      <c r="G2" s="12">
        <v>100000</v>
      </c>
    </row>
    <row r="3" spans="2:7" x14ac:dyDescent="0.45">
      <c r="B3" s="16" t="s">
        <v>27</v>
      </c>
      <c r="C3" s="16" t="s">
        <v>26</v>
      </c>
      <c r="D3" s="16">
        <v>3</v>
      </c>
      <c r="E3" s="12">
        <v>13500</v>
      </c>
      <c r="F3" s="16">
        <v>5</v>
      </c>
      <c r="G3" s="12">
        <v>67500</v>
      </c>
    </row>
    <row r="4" spans="2:7" x14ac:dyDescent="0.45">
      <c r="B4" s="16" t="s">
        <v>28</v>
      </c>
      <c r="C4" s="16" t="s">
        <v>29</v>
      </c>
      <c r="D4" s="16">
        <v>5</v>
      </c>
      <c r="E4" s="12">
        <v>6500</v>
      </c>
      <c r="F4" s="16">
        <v>12</v>
      </c>
      <c r="G4" s="12">
        <v>78000</v>
      </c>
    </row>
    <row r="5" spans="2:7" x14ac:dyDescent="0.45">
      <c r="B5" s="16" t="s">
        <v>30</v>
      </c>
      <c r="C5" s="16" t="s">
        <v>29</v>
      </c>
      <c r="D5" s="16">
        <v>5</v>
      </c>
      <c r="E5" s="12">
        <v>23500</v>
      </c>
      <c r="F5" s="16">
        <v>7</v>
      </c>
      <c r="G5" s="12">
        <v>164500</v>
      </c>
    </row>
    <row r="6" spans="2:7" x14ac:dyDescent="0.45">
      <c r="B6" s="16" t="s">
        <v>31</v>
      </c>
      <c r="C6" s="16" t="s">
        <v>32</v>
      </c>
      <c r="D6" s="16">
        <v>1</v>
      </c>
      <c r="E6" s="12">
        <v>12000</v>
      </c>
      <c r="F6" s="16">
        <v>3</v>
      </c>
      <c r="G6" s="12">
        <v>36000</v>
      </c>
    </row>
    <row r="7" spans="2:7" x14ac:dyDescent="0.45">
      <c r="B7" s="16" t="s">
        <v>33</v>
      </c>
      <c r="C7" s="16" t="s">
        <v>26</v>
      </c>
      <c r="D7" s="16">
        <v>5</v>
      </c>
      <c r="E7" s="12">
        <v>25000</v>
      </c>
      <c r="F7" s="16">
        <v>3</v>
      </c>
      <c r="G7" s="12">
        <v>75000</v>
      </c>
    </row>
    <row r="8" spans="2:7" x14ac:dyDescent="0.45">
      <c r="B8" s="16" t="s">
        <v>34</v>
      </c>
      <c r="C8" s="16" t="s">
        <v>32</v>
      </c>
      <c r="D8" s="16">
        <v>5</v>
      </c>
      <c r="E8" s="12">
        <v>14300</v>
      </c>
      <c r="F8" s="16">
        <v>19</v>
      </c>
      <c r="G8" s="12">
        <v>271700</v>
      </c>
    </row>
    <row r="9" spans="2:7" x14ac:dyDescent="0.45">
      <c r="B9" s="16" t="s">
        <v>35</v>
      </c>
      <c r="C9" s="16" t="s">
        <v>26</v>
      </c>
      <c r="D9" s="16">
        <v>3</v>
      </c>
      <c r="E9" s="12">
        <v>18900</v>
      </c>
      <c r="F9" s="16">
        <v>8</v>
      </c>
      <c r="G9" s="12">
        <v>151200</v>
      </c>
    </row>
    <row r="10" spans="2:7" x14ac:dyDescent="0.45">
      <c r="B10" s="16" t="s">
        <v>36</v>
      </c>
      <c r="C10" s="16" t="s">
        <v>37</v>
      </c>
      <c r="D10" s="16">
        <v>5</v>
      </c>
      <c r="E10" s="12">
        <v>15900</v>
      </c>
      <c r="F10" s="16">
        <v>4</v>
      </c>
      <c r="G10" s="12">
        <v>63600</v>
      </c>
    </row>
    <row r="11" spans="2:7" x14ac:dyDescent="0.45">
      <c r="B11" s="16" t="s">
        <v>38</v>
      </c>
      <c r="C11" s="16" t="s">
        <v>29</v>
      </c>
      <c r="D11" s="16">
        <v>3</v>
      </c>
      <c r="E11" s="12">
        <v>11900</v>
      </c>
      <c r="F11" s="16">
        <v>28</v>
      </c>
      <c r="G11" s="12">
        <v>333200</v>
      </c>
    </row>
    <row r="13" spans="2:7" x14ac:dyDescent="0.45">
      <c r="B13" s="20" t="s">
        <v>24</v>
      </c>
      <c r="C13" s="21"/>
      <c r="D13" s="18" t="s">
        <v>32</v>
      </c>
      <c r="E13" s="18" t="s">
        <v>26</v>
      </c>
      <c r="F13" s="18" t="s">
        <v>37</v>
      </c>
      <c r="G13" s="18" t="s">
        <v>29</v>
      </c>
    </row>
    <row r="14" spans="2:7" x14ac:dyDescent="0.45">
      <c r="B14" s="12">
        <v>1</v>
      </c>
      <c r="C14" s="12">
        <v>99999</v>
      </c>
      <c r="D14" s="2">
        <f>COUNTIFS($C$2:$C$11,D$13,$G$2:$G$11,"&gt;="&amp;$B14,$G$2:$G$11,"&lt;="&amp;$C14)</f>
        <v>1</v>
      </c>
      <c r="E14" s="2">
        <f>COUNTIFS($C$2:$C$11,E$13,$G$2:$G$11,"&gt;="&amp;$B14,$G$2:$G$11,"&lt;="&amp;$C14)</f>
        <v>2</v>
      </c>
      <c r="F14" s="2">
        <f>COUNTIFS($C$2:$C$11,F$13,$G$2:$G$11,"&gt;="&amp;$B14,$G$2:$G$11,"&lt;="&amp;$C14)</f>
        <v>1</v>
      </c>
      <c r="G14" s="2">
        <f>COUNTIFS($C$2:$C$11,G$13,$G$2:$G$11,"&gt;="&amp;$B14,$G$2:$G$11,"&lt;="&amp;$C14)</f>
        <v>1</v>
      </c>
    </row>
    <row r="15" spans="2:7" x14ac:dyDescent="0.45">
      <c r="B15" s="12">
        <v>100000</v>
      </c>
      <c r="C15" s="12">
        <v>149999</v>
      </c>
      <c r="D15" s="2">
        <f t="shared" ref="D15:G16" si="0">COUNTIFS($C$2:$C$11,D$13,$G$2:$G$11,"&gt;="&amp;$B15,$G$2:$G$11,"&lt;="&amp;$C15)</f>
        <v>0</v>
      </c>
      <c r="E15" s="2">
        <f t="shared" si="0"/>
        <v>1</v>
      </c>
      <c r="F15" s="2">
        <f t="shared" si="0"/>
        <v>0</v>
      </c>
      <c r="G15" s="2">
        <f t="shared" si="0"/>
        <v>0</v>
      </c>
    </row>
    <row r="16" spans="2:7" x14ac:dyDescent="0.45">
      <c r="B16" s="12">
        <v>150000</v>
      </c>
      <c r="C16" s="12">
        <v>300000</v>
      </c>
      <c r="D16" s="2">
        <f t="shared" si="0"/>
        <v>1</v>
      </c>
      <c r="E16" s="2">
        <f t="shared" si="0"/>
        <v>1</v>
      </c>
      <c r="F16" s="2">
        <f t="shared" si="0"/>
        <v>0</v>
      </c>
      <c r="G16" s="2">
        <f t="shared" si="0"/>
        <v>1</v>
      </c>
    </row>
  </sheetData>
  <mergeCells count="1">
    <mergeCell ref="B13:C1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2020-06-09T07:08:46Z</dcterms:created>
  <dcterms:modified xsi:type="dcterms:W3CDTF">2020-06-09T07:19:02Z</dcterms:modified>
</cp:coreProperties>
</file>